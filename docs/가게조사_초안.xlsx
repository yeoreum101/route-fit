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이드" sheetId="1" state="visible" r:id="rId1"/>
    <sheet name="가게정보" sheetId="2" state="visible" r:id="rId2"/>
    <sheet name="체크리스트" sheetId="3" state="visible" r:id="rId3"/>
    <sheet name="작성 예시" sheetId="4" state="visible" r:id="rId4"/>
    <sheet name="목록" sheetId="5" state="visible" r:id="rId5"/>
  </sheets>
  <definedNames>
    <definedName name="_xlnm._FilterDatabase" localSheetId="1" hidden="1">'가게정보'!$A$1:$Z$122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6B7280"/>
      <sz val="10"/>
    </font>
    <font>
      <name val="맑은 고딕"/>
      <b val="1"/>
      <color rgb="00374151"/>
      <sz val="10"/>
    </font>
    <font>
      <name val="맑은 고딕"/>
      <i val="1"/>
      <color rgb="006B7280"/>
      <sz val="8"/>
    </font>
    <font>
      <name val="맑은 고딕"/>
      <color rgb="006B7280"/>
      <sz val="10"/>
    </font>
    <font>
      <name val="맑은 고딕"/>
      <b val="1"/>
      <color rgb="00FFFFFF"/>
      <sz val="9"/>
    </font>
    <font>
      <name val="맑은 고딕"/>
      <b val="1"/>
      <color rgb="00374151"/>
      <sz val="9"/>
    </font>
    <font>
      <name val="맑은 고딕"/>
      <b val="1"/>
      <color rgb="00B91C1C"/>
      <sz val="10"/>
    </font>
    <font>
      <name val="맑은 고딕"/>
      <b val="1"/>
      <sz val="10"/>
    </font>
    <font>
      <name val="맑은 고딕"/>
      <b val="1"/>
      <color rgb="000D7A6B"/>
      <sz val="15"/>
    </font>
    <font>
      <name val="맑은 고딕"/>
      <color rgb="000000FF"/>
      <sz val="10"/>
    </font>
    <font>
      <name val="맑은 고딕"/>
      <color rgb="006B7280"/>
      <sz val="9"/>
    </font>
  </fonts>
  <fills count="8">
    <fill>
      <patternFill/>
    </fill>
    <fill>
      <patternFill patternType="gray125"/>
    </fill>
    <fill>
      <patternFill patternType="solid">
        <fgColor rgb="000D7A6B"/>
        <bgColor rgb="000D7A6B"/>
      </patternFill>
    </fill>
    <fill>
      <patternFill patternType="solid">
        <fgColor rgb="00F2F4F6"/>
        <bgColor rgb="00F2F4F6"/>
      </patternFill>
    </fill>
    <fill>
      <patternFill patternType="solid">
        <fgColor rgb="00E7F5F2"/>
        <bgColor rgb="00E7F5F2"/>
      </patternFill>
    </fill>
    <fill>
      <patternFill patternType="solid">
        <fgColor rgb="005B7A8C"/>
        <bgColor rgb="005B7A8C"/>
      </patternFill>
    </fill>
    <fill>
      <patternFill patternType="solid">
        <fgColor rgb="006C9BD2"/>
        <bgColor rgb="006C9BD2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1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0" fontId="0" fillId="2" borderId="0" pivotButton="0" quotePrefix="0" xfId="0"/>
    <xf numFmtId="0" fontId="10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Route-Fit 가게 조사 양식 (동구·동명동 중심)</t>
        </is>
      </c>
    </row>
    <row r="2" ht="34" customHeight="1">
      <c r="A2" s="2" t="inlineStr">
        <is>
          <t>구도심(동구)의 개별 가게·명소를 조사해 코스 추천 데이터로 쌓습니다. 동명동의 식당·카페를 가장 먼저, 그다음 충장로·ACC·금남로·대인시장 순으로 채우세요.</t>
        </is>
      </c>
    </row>
    <row r="4">
      <c r="A4" s="3" t="inlineStr">
        <is>
          <t>1. 시트 구성</t>
        </is>
      </c>
      <c r="B4" s="4" t="n"/>
      <c r="C4" s="4" t="n"/>
      <c r="D4" s="4" t="n"/>
    </row>
    <row r="5" ht="32" customHeight="1">
      <c r="A5" s="5" t="inlineStr">
        <is>
          <t>가게정보</t>
        </is>
      </c>
      <c r="B5" s="2" t="inlineStr">
        <is>
          <t>가게 한 곳 = 한 줄. 2행은 안내이니 지우지 마세요. id(A열)는 고치지 마세요.</t>
        </is>
      </c>
    </row>
    <row r="6" ht="32" customHeight="1">
      <c r="A6" s="5" t="inlineStr">
        <is>
          <t>체크리스트</t>
        </is>
      </c>
      <c r="B6" s="2" t="inlineStr">
        <is>
          <t>광주다움·상권 연계성·체류 유도성의 수동 항목 8개를 O/X로 체크. 가게마다 팀원 2명 이상이 서로 보지 않고 각자 한 줄씩 씁니다.</t>
        </is>
      </c>
    </row>
    <row r="7" ht="18" customHeight="1">
      <c r="A7" s="5" t="inlineStr">
        <is>
          <t>작성 예시</t>
        </is>
      </c>
      <c r="B7" s="2" t="inlineStr">
        <is>
          <t>가상의 가게로 채운 예시. 형식만 참고하세요.</t>
        </is>
      </c>
    </row>
    <row r="8" ht="18" customHeight="1">
      <c r="A8" s="5" t="inlineStr">
        <is>
          <t>목록</t>
        </is>
      </c>
      <c r="B8" s="2" t="inlineStr">
        <is>
          <t>드롭다운과 태그 값 목록. 할 거리·분위기·시간·동행은 이 값만 쉼표로 적습니다.</t>
        </is>
      </c>
    </row>
    <row r="9">
      <c r="A9" s="3" t="inlineStr">
        <is>
          <t>2. 칸 색</t>
        </is>
      </c>
      <c r="B9" s="4" t="n"/>
      <c r="C9" s="4" t="n"/>
      <c r="D9" s="4" t="n"/>
    </row>
    <row r="10" ht="18" customHeight="1">
      <c r="A10" s="5" t="inlineStr">
        <is>
          <t>진한 초록 머리글 (★)</t>
        </is>
      </c>
      <c r="B10" s="2" t="inlineStr">
        <is>
          <t>필수. 비우면 시스템에 넣을 수 없습니다.</t>
        </is>
      </c>
    </row>
    <row r="11" ht="18" customHeight="1">
      <c r="A11" s="5" t="inlineStr">
        <is>
          <t>회청색 머리글</t>
        </is>
      </c>
      <c r="B11" s="2" t="inlineStr">
        <is>
          <t>선택. 아는 만큼만.</t>
        </is>
      </c>
    </row>
    <row r="12" ht="32" customHeight="1">
      <c r="A12" s="5" t="inlineStr">
        <is>
          <t>연한 파랑 머리글 [참고]</t>
        </is>
      </c>
      <c r="B12" s="2" t="inlineStr">
        <is>
          <t>대표 메뉴·음식 종류·식사 시간대. 지금 시스템에는 저장 칸이 없지만, 식당 추천을 위해 미리 모아 둡니다.</t>
        </is>
      </c>
    </row>
    <row r="13" ht="18" customHeight="1">
      <c r="A13" s="5" t="inlineStr">
        <is>
          <t>회색 칸</t>
        </is>
      </c>
      <c r="B13" s="2" t="inlineStr">
        <is>
          <t>자동 또는 수정 금지.</t>
        </is>
      </c>
    </row>
    <row r="14">
      <c r="A14" s="3" t="inlineStr">
        <is>
          <t>3. 작성 규칙</t>
        </is>
      </c>
      <c r="B14" s="4" t="n"/>
      <c r="C14" s="4" t="n"/>
      <c r="D14" s="4" t="n"/>
    </row>
    <row r="15" ht="32" customHeight="1">
      <c r="A15" s="5" t="inlineStr">
        <is>
          <t>추측하지 않기</t>
        </is>
      </c>
      <c r="B15" s="2" t="inlineStr">
        <is>
          <t>확인 못 한 값은 비워 두세요. 영업시간·가격은 출처(링크)와 조사일을 꼭 남깁니다.</t>
        </is>
      </c>
    </row>
    <row r="16" ht="32" customHeight="1">
      <c r="A16" s="5" t="inlineStr">
        <is>
          <t>시각</t>
        </is>
      </c>
      <c r="B16" s="2" t="inlineStr">
        <is>
          <t>24시간 HH:MM. 자정을 넘기면 25:00 (새벽 1시). 예: 11:00 / 25:00</t>
        </is>
      </c>
    </row>
    <row r="17" ht="18" customHeight="1">
      <c r="A17" s="5" t="inlineStr">
        <is>
          <t>휴무 요일</t>
        </is>
      </c>
      <c r="B17" s="2" t="inlineStr">
        <is>
          <t>월, 화, 수, 목, 금, 토, 일 중 쉼표로. 연중무휴면 비움.</t>
        </is>
      </c>
    </row>
    <row r="18" ht="18" customHeight="1">
      <c r="A18" s="5" t="inlineStr">
        <is>
          <t>1인 예상 지출</t>
        </is>
      </c>
      <c r="B18" s="2" t="inlineStr">
        <is>
          <t>메뉴 1개 + 음료 기준 대략의 값(원). 무료면 0.</t>
        </is>
      </c>
    </row>
    <row r="19" ht="18" customHeight="1">
      <c r="A19" s="5" t="inlineStr">
        <is>
          <t>한줄 소개</t>
        </is>
      </c>
      <c r="B19" s="2" t="inlineStr">
        <is>
          <t>개업 연도, 대표 메뉴 등 확인된 사실만. 홍보 문구·추측 금지.</t>
        </is>
      </c>
    </row>
    <row r="20" ht="32" customHeight="1">
      <c r="A20" s="5" t="inlineStr">
        <is>
          <t>위도·경도</t>
        </is>
      </c>
      <c r="B20" s="2" t="inlineStr">
        <is>
          <t>비워도 됩니다. 정확한 도로명 주소만 적어 주세요. 좌표는 장소 관리 화면에서 지도를 눌러 넣습니다.</t>
        </is>
      </c>
    </row>
    <row r="21">
      <c r="A21" s="3" t="inlineStr">
        <is>
          <t>4. 체크리스트</t>
        </is>
      </c>
      <c r="B21" s="4" t="n"/>
      <c r="C21" s="4" t="n"/>
      <c r="D21" s="4" t="n"/>
    </row>
    <row r="22" ht="32" customHeight="1">
      <c r="A22" s="5" t="inlineStr">
        <is>
          <t>O / X</t>
        </is>
      </c>
      <c r="B22" s="2" t="inlineStr">
        <is>
          <t>'맞다/아니다'를 사실로 확인합니다. 확인 방법은 체크리스트 시트 2행에 있습니다. 근거(링크·사진 파일명)를 적어 주세요.</t>
        </is>
      </c>
    </row>
    <row r="23" ht="32" customHeight="1">
      <c r="A23" s="5" t="inlineStr">
        <is>
          <t>자동 항목</t>
        </is>
      </c>
      <c r="B23" s="2" t="inlineStr">
        <is>
          <t>머무는 시간 60분 이상, 지출 0원 초과, 할 거리 2개 이상, 19시 이후 운영은 시스템이 계산하므로 적지 않습니다.</t>
        </is>
      </c>
    </row>
    <row r="24" ht="18" customHeight="1">
      <c r="A24" s="5" t="inlineStr">
        <is>
          <t>프랜차이즈</t>
        </is>
      </c>
      <c r="B24" s="2" t="inlineStr">
        <is>
          <t>'프랜차이즈나 대기업 직영이 아니다'는 프랜차이즈가 아니면 O 입니다.</t>
        </is>
      </c>
    </row>
    <row r="26">
      <c r="A26" s="3" t="inlineStr">
        <is>
          <t>5. 진행 현황 (자동 계산)</t>
        </is>
      </c>
      <c r="B26" s="4" t="n"/>
      <c r="C26" s="4" t="n"/>
      <c r="D26" s="4" t="n"/>
    </row>
    <row r="27">
      <c r="A27" s="6" t="inlineStr">
        <is>
          <t>항목</t>
        </is>
      </c>
      <c r="B27" s="6" t="inlineStr">
        <is>
          <t>현재</t>
        </is>
      </c>
      <c r="C27" s="6" t="inlineStr">
        <is>
          <t>목표</t>
        </is>
      </c>
      <c r="D27" s="6" t="inlineStr">
        <is>
          <t>비고</t>
        </is>
      </c>
    </row>
    <row r="28">
      <c r="A28" s="7" t="inlineStr">
        <is>
          <t>입력한 가게 수</t>
        </is>
      </c>
      <c r="B28" s="8">
        <f>COUNTA(가게정보!$B$3:$B$122)</f>
        <v/>
      </c>
      <c r="C28" s="9" t="n"/>
      <c r="D28" s="10" t="inlineStr"/>
    </row>
    <row r="29">
      <c r="A29" s="7" t="inlineStr">
        <is>
          <t>식당</t>
        </is>
      </c>
      <c r="B29" s="8">
        <f>COUNTIF(가게정보!$C$3:$C$122,"식당")</f>
        <v/>
      </c>
      <c r="C29" s="9" t="n">
        <v>20</v>
      </c>
      <c r="D29" s="10" t="inlineStr">
        <is>
          <t>멘토링 메모: 동구 식당 20개 이상 (팀에서 확정)</t>
        </is>
      </c>
    </row>
    <row r="30">
      <c r="A30" s="7" t="inlineStr">
        <is>
          <t>카페·디저트</t>
        </is>
      </c>
      <c r="B30" s="8">
        <f>COUNTIF(가게정보!$C$3:$C$122,"카페·디저트")</f>
        <v/>
      </c>
      <c r="C30" s="9" t="n"/>
      <c r="D30" s="10" t="inlineStr"/>
    </row>
    <row r="31">
      <c r="A31" s="7" t="inlineStr">
        <is>
          <t>동구 가게</t>
        </is>
      </c>
      <c r="B31" s="8">
        <f>COUNTIF(가게정보!$D$3:$D$122,"동구*")</f>
        <v/>
      </c>
      <c r="C31" s="9" t="n"/>
      <c r="D31" s="10" t="inlineStr"/>
    </row>
    <row r="32">
      <c r="A32" s="7" t="inlineStr">
        <is>
          <t>동명동 가게</t>
        </is>
      </c>
      <c r="B32" s="8">
        <f>COUNTIF(가게정보!$D$3:$D$122,"*동명동*")</f>
        <v/>
      </c>
      <c r="C32" s="9" t="n"/>
      <c r="D32" s="10" t="inlineStr">
        <is>
          <t>동명동 중심 방향</t>
        </is>
      </c>
    </row>
    <row r="33">
      <c r="A33" s="7" t="inlineStr">
        <is>
          <t>체크리스트 작성 줄 수</t>
        </is>
      </c>
      <c r="B33" s="8">
        <f>COUNTA(체크리스트!$C$3:$C$302)</f>
        <v/>
      </c>
      <c r="C33" s="9" t="n">
        <v>10</v>
      </c>
      <c r="D33" s="10" t="inlineStr">
        <is>
          <t>멘토링 메모: 체크리스트 10개 이상 (팀에서 확정, 가게×채점자 줄 수)</t>
        </is>
      </c>
    </row>
    <row r="35">
      <c r="A35" s="3" t="inlineStr">
        <is>
          <t>6. 다 채운 뒤</t>
        </is>
      </c>
      <c r="B35" s="4" t="n"/>
      <c r="C35" s="4" t="n"/>
      <c r="D35" s="4" t="n"/>
    </row>
    <row r="36" ht="30" customHeight="1">
      <c r="A36" s="2" t="inlineStr">
        <is>
          <t>이 파일을 알려 주시면 데이터(JSON)로 바꿔 장소 관리 화면에서 확인할 수 있게 하고, 좌표와 태그를 점검합니다.</t>
        </is>
      </c>
    </row>
  </sheetData>
  <mergeCells count="19">
    <mergeCell ref="B11:D11"/>
    <mergeCell ref="B23:D23"/>
    <mergeCell ref="B8:D8"/>
    <mergeCell ref="B17:D17"/>
    <mergeCell ref="B13:D13"/>
    <mergeCell ref="B10:D10"/>
    <mergeCell ref="B19:D19"/>
    <mergeCell ref="B15:D15"/>
    <mergeCell ref="B6:D6"/>
    <mergeCell ref="B24:D24"/>
    <mergeCell ref="A36:D36"/>
    <mergeCell ref="B20:D20"/>
    <mergeCell ref="B5:D5"/>
    <mergeCell ref="B7:D7"/>
    <mergeCell ref="B16:D16"/>
    <mergeCell ref="B22:D22"/>
    <mergeCell ref="B18:D18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5" customWidth="1" min="4" max="4"/>
    <col width="30" customWidth="1" min="5" max="5"/>
    <col width="10" customWidth="1" min="6" max="6"/>
    <col width="10" customWidth="1" min="7" max="7"/>
    <col width="11" customWidth="1" min="8" max="8"/>
    <col width="11" customWidth="1" min="9" max="9"/>
    <col width="14" customWidth="1" min="10" max="10"/>
    <col width="13" customWidth="1" min="11" max="11"/>
    <col width="14" customWidth="1" min="12" max="12"/>
    <col width="28" customWidth="1" min="13" max="13"/>
    <col width="12" customWidth="1" min="14" max="14"/>
    <col width="14" customWidth="1" min="15" max="15"/>
    <col width="24" customWidth="1" min="16" max="16"/>
    <col width="20" customWidth="1" min="17" max="17"/>
    <col width="10" customWidth="1" min="18" max="18"/>
    <col width="16" customWidth="1" min="19" max="19"/>
    <col width="18" customWidth="1" min="20" max="20"/>
    <col width="18" customWidth="1" min="21" max="21"/>
    <col width="40" customWidth="1" min="22" max="22"/>
    <col width="10" customWidth="1" min="23" max="23"/>
    <col width="12" customWidth="1" min="24" max="24"/>
    <col width="30" customWidth="1" min="25" max="25"/>
    <col width="24" customWidth="1" min="26" max="26"/>
  </cols>
  <sheetData>
    <row r="1" ht="34" customHeight="1">
      <c r="A1" s="11" t="inlineStr">
        <is>
          <t>id
(수정 금지)</t>
        </is>
      </c>
      <c r="B1" s="12" t="inlineStr">
        <is>
          <t>★가게 이름</t>
        </is>
      </c>
      <c r="C1" s="12" t="inlineStr">
        <is>
          <t>★유형</t>
        </is>
      </c>
      <c r="D1" s="12" t="inlineStr">
        <is>
          <t>★지역</t>
        </is>
      </c>
      <c r="E1" s="12" t="inlineStr">
        <is>
          <t>★도로명 주소</t>
        </is>
      </c>
      <c r="F1" s="13" t="inlineStr">
        <is>
          <t>위도</t>
        </is>
      </c>
      <c r="G1" s="13" t="inlineStr">
        <is>
          <t>경도</t>
        </is>
      </c>
      <c r="H1" s="12" t="inlineStr">
        <is>
          <t>★여는 시각</t>
        </is>
      </c>
      <c r="I1" s="12" t="inlineStr">
        <is>
          <t>★닫는 시각</t>
        </is>
      </c>
      <c r="J1" s="13" t="inlineStr">
        <is>
          <t>휴무 요일</t>
        </is>
      </c>
      <c r="K1" s="12" t="inlineStr">
        <is>
          <t>★머무는 시간(분)</t>
        </is>
      </c>
      <c r="L1" s="12" t="inlineStr">
        <is>
          <t>★1인 예상 지출(원)</t>
        </is>
      </c>
      <c r="M1" s="14" t="inlineStr">
        <is>
          <t>대표 메뉴·가격
[참고]</t>
        </is>
      </c>
      <c r="N1" s="14" t="inlineStr">
        <is>
          <t>음식 종류
[참고]</t>
        </is>
      </c>
      <c r="O1" s="14" t="inlineStr">
        <is>
          <t>식사 시간대
[참고]</t>
        </is>
      </c>
      <c r="P1" s="12" t="inlineStr">
        <is>
          <t>★할 거리</t>
        </is>
      </c>
      <c r="Q1" s="12" t="inlineStr">
        <is>
          <t>★분위기</t>
        </is>
      </c>
      <c r="R1" s="12" t="inlineStr">
        <is>
          <t>★공간</t>
        </is>
      </c>
      <c r="S1" s="13" t="inlineStr">
        <is>
          <t>어울리는 시간</t>
        </is>
      </c>
      <c r="T1" s="13" t="inlineStr">
        <is>
          <t>어울리는 동행</t>
        </is>
      </c>
      <c r="U1" s="13" t="inlineStr">
        <is>
          <t>별칭</t>
        </is>
      </c>
      <c r="V1" s="13" t="inlineStr">
        <is>
          <t>한줄 소개</t>
        </is>
      </c>
      <c r="W1" s="13" t="inlineStr">
        <is>
          <t>조사자</t>
        </is>
      </c>
      <c r="X1" s="13" t="inlineStr">
        <is>
          <t>조사일</t>
        </is>
      </c>
      <c r="Y1" s="13" t="inlineStr">
        <is>
          <t>정보 출처
(링크·날짜)</t>
        </is>
      </c>
      <c r="Z1" s="13" t="inlineStr">
        <is>
          <t>메모</t>
        </is>
      </c>
    </row>
    <row r="2" ht="38" customHeight="1">
      <c r="A2" s="15" t="inlineStr">
        <is>
          <t>자동 번호</t>
        </is>
      </c>
      <c r="B2" s="15" t="inlineStr">
        <is>
          <t>간판 이름 그대로</t>
        </is>
      </c>
      <c r="C2" s="15" t="inlineStr">
        <is>
          <t>목록에서 고르기</t>
        </is>
      </c>
      <c r="D2" s="15" t="inlineStr">
        <is>
          <t>예: 동구 동명동</t>
        </is>
      </c>
      <c r="E2" s="15" t="inlineStr">
        <is>
          <t>정확히. 좌표는 나중에 지도로 넣음</t>
        </is>
      </c>
      <c r="F2" s="15" t="inlineStr">
        <is>
          <t>몰라도 됨</t>
        </is>
      </c>
      <c r="G2" s="15" t="inlineStr">
        <is>
          <t>몰라도 됨</t>
        </is>
      </c>
      <c r="H2" s="15" t="inlineStr">
        <is>
          <t>24시간 HH:MM 예: 11:00</t>
        </is>
      </c>
      <c r="I2" s="15" t="inlineStr">
        <is>
          <t>자정 넘기면 25:00</t>
        </is>
      </c>
      <c r="J2" s="15" t="inlineStr">
        <is>
          <t>예: 월 / 월, 화 (연중무휴면 비움)</t>
        </is>
      </c>
      <c r="K2" s="15" t="inlineStr">
        <is>
          <t>보통 머무는 시간 예: 60</t>
        </is>
      </c>
      <c r="L2" s="15" t="inlineStr">
        <is>
          <t>메뉴1+음료 기준. 무료는 0</t>
        </is>
      </c>
      <c r="M2" s="15" t="inlineStr">
        <is>
          <t>예: 된장찌개 9,000 / 제육 10,000</t>
        </is>
      </c>
      <c r="N2" s="15" t="inlineStr">
        <is>
          <t>식당·카페만</t>
        </is>
      </c>
      <c r="O2" s="15" t="inlineStr">
        <is>
          <t>점심/저녁 중 주로 가는 때</t>
        </is>
      </c>
      <c r="P2" s="15" t="inlineStr">
        <is>
          <t>목록 값을 쉼표로 예: 식사, 사진</t>
        </is>
      </c>
      <c r="Q2" s="15" t="inlineStr">
        <is>
          <t>목록 값을 쉼표로</t>
        </is>
      </c>
      <c r="R2" s="15" t="inlineStr">
        <is>
          <t>하나만 고르기</t>
        </is>
      </c>
      <c r="S2" s="15" t="inlineStr">
        <is>
          <t>쉼표로. 예: 저녁, 밤</t>
        </is>
      </c>
      <c r="T2" s="15" t="inlineStr">
        <is>
          <t>쉼표로. 예: 친구, 연인</t>
        </is>
      </c>
      <c r="U2" s="15" t="inlineStr">
        <is>
          <t>손님들이 부르는 다른 이름 (쉼표)</t>
        </is>
      </c>
      <c r="V2" s="15" t="inlineStr">
        <is>
          <t>확인된 사실만 (개업 연도, 대표 메뉴 등). 홍보 문구·추측 금지</t>
        </is>
      </c>
      <c r="W2" s="15" t="inlineStr">
        <is>
          <t>이름</t>
        </is>
      </c>
      <c r="X2" s="15" t="inlineStr">
        <is>
          <t>예: 2026-10-20</t>
        </is>
      </c>
      <c r="Y2" s="15" t="inlineStr">
        <is>
          <t>영업시간·가격을 어디서 확인했는지</t>
        </is>
      </c>
      <c r="Z2" s="15" t="inlineStr"/>
    </row>
    <row r="3">
      <c r="A3" s="16" t="inlineStr">
        <is>
          <t>store_001</t>
        </is>
      </c>
      <c r="B3" s="17" t="inlineStr">
        <is>
          <t>산수쌈밥 동명점</t>
        </is>
      </c>
      <c r="C3" s="17" t="inlineStr">
        <is>
          <t>식당</t>
        </is>
      </c>
      <c r="D3" s="17" t="inlineStr">
        <is>
          <t>동구 동명동</t>
        </is>
      </c>
      <c r="E3" s="18" t="inlineStr">
        <is>
          <t>광주광역시 동구 동계로 11</t>
        </is>
      </c>
      <c r="F3" s="19" t="n"/>
      <c r="G3" s="19" t="n"/>
      <c r="H3" s="20" t="inlineStr">
        <is>
          <t>10:30</t>
        </is>
      </c>
      <c r="I3" s="20" t="inlineStr">
        <is>
          <t>20:00</t>
        </is>
      </c>
      <c r="J3" s="17" t="inlineStr">
        <is>
          <t>일</t>
        </is>
      </c>
      <c r="K3" s="17" t="n">
        <v>80</v>
      </c>
      <c r="L3" s="21" t="n">
        <v>9500</v>
      </c>
      <c r="M3" s="18" t="inlineStr">
        <is>
          <t>우렁이 쌈밥 정식 10,000 / 혼밥정식 12,000 / 우렁이 비빔밥 9,000</t>
        </is>
      </c>
      <c r="N3" s="17" t="inlineStr">
        <is>
          <t>우렁이쌈밥,들깨탕</t>
        </is>
      </c>
      <c r="O3" s="17" t="n"/>
      <c r="P3" s="17" t="inlineStr">
        <is>
          <t>식사</t>
        </is>
      </c>
      <c r="Q3" s="17" t="inlineStr">
        <is>
          <t>현대적</t>
        </is>
      </c>
      <c r="R3" s="17" t="inlineStr">
        <is>
          <t>실내</t>
        </is>
      </c>
      <c r="S3" s="17" t="inlineStr">
        <is>
          <t>오전, 오후, 저녁</t>
        </is>
      </c>
      <c r="T3" s="17" t="n"/>
      <c r="U3" s="17" t="n"/>
      <c r="V3" s="18" t="n"/>
      <c r="W3" s="17" t="inlineStr">
        <is>
          <t>Claude(웹 수집)</t>
        </is>
      </c>
      <c r="X3" s="22" t="inlineStr">
        <is>
          <t>2026-10-21</t>
        </is>
      </c>
      <c r="Y3" s="18" t="inlineStr">
        <is>
          <t>https://www.diningcode.com/profile.php?rid=6bbCBHAtq9Ml</t>
        </is>
      </c>
      <c r="Z3" s="18" t="inlineStr">
        <is>
          <t>초안(웹 수집). 현장 미확인 / 추정 칸: 머무는 시간·1인 지출·태그·지역 / 라스트오더 19:30</t>
        </is>
      </c>
    </row>
    <row r="4">
      <c r="A4" s="16" t="inlineStr">
        <is>
          <t>store_002</t>
        </is>
      </c>
      <c r="B4" s="17" t="inlineStr">
        <is>
          <t>동명사랑채</t>
        </is>
      </c>
      <c r="C4" s="17" t="inlineStr">
        <is>
          <t>식당</t>
        </is>
      </c>
      <c r="D4" s="17" t="inlineStr">
        <is>
          <t>동구 동명동</t>
        </is>
      </c>
      <c r="E4" s="18" t="inlineStr">
        <is>
          <t>광주광역시 동구 동계로9번길 2</t>
        </is>
      </c>
      <c r="F4" s="19" t="n"/>
      <c r="G4" s="19" t="n"/>
      <c r="H4" s="20" t="inlineStr">
        <is>
          <t>11:00</t>
        </is>
      </c>
      <c r="I4" s="20" t="inlineStr">
        <is>
          <t>22:00</t>
        </is>
      </c>
      <c r="J4" s="17" t="inlineStr">
        <is>
          <t>일</t>
        </is>
      </c>
      <c r="K4" s="17" t="n">
        <v>80</v>
      </c>
      <c r="L4" s="21" t="n">
        <v>10500</v>
      </c>
      <c r="M4" s="18" t="inlineStr">
        <is>
          <t>우렁강된장쌈밥 11,000 / 애호박찌개 10,000</t>
        </is>
      </c>
      <c r="N4" s="17" t="inlineStr">
        <is>
          <t>쌈밥,우렁</t>
        </is>
      </c>
      <c r="O4" s="17" t="n"/>
      <c r="P4" s="17" t="inlineStr">
        <is>
          <t>식사</t>
        </is>
      </c>
      <c r="Q4" s="17" t="inlineStr">
        <is>
          <t>현대적</t>
        </is>
      </c>
      <c r="R4" s="17" t="inlineStr">
        <is>
          <t>실내</t>
        </is>
      </c>
      <c r="S4" s="17" t="inlineStr">
        <is>
          <t>오전, 오후, 저녁</t>
        </is>
      </c>
      <c r="T4" s="17" t="n"/>
      <c r="U4" s="17" t="n"/>
      <c r="V4" s="18" t="inlineStr">
        <is>
          <t>무료주차</t>
        </is>
      </c>
      <c r="W4" s="17" t="inlineStr">
        <is>
          <t>Claude(웹 수집)</t>
        </is>
      </c>
      <c r="X4" s="22" t="inlineStr">
        <is>
          <t>2026-10-21</t>
        </is>
      </c>
      <c r="Y4" s="18" t="inlineStr">
        <is>
          <t>https://www.diningcode.com/profile.php?rid=ZzJVqaMYHG3M</t>
        </is>
      </c>
      <c r="Z4" s="18" t="inlineStr">
        <is>
          <t>초안(웹 수집). 현장 미확인 / 추정 칸: 머무는 시간·1인 지출·태그·지역</t>
        </is>
      </c>
    </row>
    <row r="5">
      <c r="A5" s="16" t="inlineStr">
        <is>
          <t>store_003</t>
        </is>
      </c>
      <c r="B5" s="17" t="inlineStr">
        <is>
          <t>이층집백반</t>
        </is>
      </c>
      <c r="C5" s="17" t="inlineStr">
        <is>
          <t>식당</t>
        </is>
      </c>
      <c r="D5" s="17" t="inlineStr">
        <is>
          <t>동구 동명동</t>
        </is>
      </c>
      <c r="E5" s="18" t="inlineStr">
        <is>
          <t>광주광역시 동구 백서로 153 2층</t>
        </is>
      </c>
      <c r="F5" s="19" t="n"/>
      <c r="G5" s="19" t="n"/>
      <c r="H5" s="20" t="inlineStr">
        <is>
          <t>11:30</t>
        </is>
      </c>
      <c r="I5" s="20" t="inlineStr">
        <is>
          <t>13:30</t>
        </is>
      </c>
      <c r="J5" s="17" t="inlineStr">
        <is>
          <t>토,일</t>
        </is>
      </c>
      <c r="K5" s="17" t="n">
        <v>40</v>
      </c>
      <c r="L5" s="21" t="n">
        <v>9000</v>
      </c>
      <c r="M5" s="18" t="inlineStr">
        <is>
          <t>점심 백반뷔페 9,000</t>
        </is>
      </c>
      <c r="N5" s="17" t="inlineStr">
        <is>
          <t>한식,백반</t>
        </is>
      </c>
      <c r="O5" s="17" t="n"/>
      <c r="P5" s="17" t="inlineStr">
        <is>
          <t>식사</t>
        </is>
      </c>
      <c r="Q5" s="17" t="inlineStr">
        <is>
          <t>서민적</t>
        </is>
      </c>
      <c r="R5" s="17" t="inlineStr">
        <is>
          <t>실내</t>
        </is>
      </c>
      <c r="S5" s="17" t="inlineStr">
        <is>
          <t>오전, 오후</t>
        </is>
      </c>
      <c r="T5" s="17" t="n"/>
      <c r="U5" s="17" t="n"/>
      <c r="V5" s="18" t="inlineStr">
        <is>
          <t>점심 가정식 백반뷔페</t>
        </is>
      </c>
      <c r="W5" s="17" t="inlineStr">
        <is>
          <t>Claude(웹 수집)</t>
        </is>
      </c>
      <c r="X5" s="22" t="inlineStr">
        <is>
          <t>2026-10-21</t>
        </is>
      </c>
      <c r="Y5" s="18" t="inlineStr">
        <is>
          <t>https://www.diningcode.com/profile.php?rid=UdTmtvrvt28Z</t>
        </is>
      </c>
      <c r="Z5" s="18" t="inlineStr">
        <is>
          <t>초안(웹 수집). 현장 미확인 / 추정 칸: 머무는 시간·1인 지출·태그·지역 / 라스트오더 13:00</t>
        </is>
      </c>
    </row>
    <row r="6">
      <c r="A6" s="16" t="inlineStr">
        <is>
          <t>store_004</t>
        </is>
      </c>
      <c r="B6" s="17" t="inlineStr">
        <is>
          <t>송경솥밥</t>
        </is>
      </c>
      <c r="C6" s="17" t="inlineStr">
        <is>
          <t>식당</t>
        </is>
      </c>
      <c r="D6" s="17" t="inlineStr">
        <is>
          <t>동구 동명동</t>
        </is>
      </c>
      <c r="E6" s="18" t="inlineStr">
        <is>
          <t>광주광역시 동구 동명로14번길 19-8 2층</t>
        </is>
      </c>
      <c r="F6" s="19" t="n"/>
      <c r="G6" s="19" t="n"/>
      <c r="H6" s="20" t="inlineStr">
        <is>
          <t>11:00</t>
        </is>
      </c>
      <c r="I6" s="20" t="inlineStr">
        <is>
          <t>21:00</t>
        </is>
      </c>
      <c r="J6" s="17" t="n"/>
      <c r="K6" s="17" t="n">
        <v>60</v>
      </c>
      <c r="L6" s="21" t="n">
        <v>15000</v>
      </c>
      <c r="M6" s="18" t="inlineStr">
        <is>
          <t>LA갈비솥밥 24,000 / 트러플 차돌버섯솥밥 14,000 / 냉이 돼지스테이크 솥밥 16,000</t>
        </is>
      </c>
      <c r="N6" s="17" t="inlineStr">
        <is>
          <t>한식,솥밥</t>
        </is>
      </c>
      <c r="O6" s="17" t="n"/>
      <c r="P6" s="17" t="inlineStr">
        <is>
          <t>식사</t>
        </is>
      </c>
      <c r="Q6" s="17" t="inlineStr">
        <is>
          <t>현대적</t>
        </is>
      </c>
      <c r="R6" s="17" t="inlineStr">
        <is>
          <t>실내</t>
        </is>
      </c>
      <c r="S6" s="17" t="inlineStr">
        <is>
          <t>오전, 오후, 저녁</t>
        </is>
      </c>
      <c r="T6" s="17" t="n"/>
      <c r="U6" s="17" t="n"/>
      <c r="V6" s="18" t="n"/>
      <c r="W6" s="17" t="inlineStr">
        <is>
          <t>Claude(웹 수집)</t>
        </is>
      </c>
      <c r="X6" s="22" t="inlineStr">
        <is>
          <t>2026-10-21</t>
        </is>
      </c>
      <c r="Y6" s="18" t="inlineStr">
        <is>
          <t>https://www.diningcode.com/profile.php?rid=AzsEpSGMQzjq</t>
        </is>
      </c>
      <c r="Z6" s="18" t="inlineStr">
        <is>
          <t>초안(웹 수집). 현장 미확인 / 추정 칸: 머무는 시간·1인 지출·태그·지역</t>
        </is>
      </c>
    </row>
    <row r="7">
      <c r="A7" s="16" t="inlineStr">
        <is>
          <t>store_005</t>
        </is>
      </c>
      <c r="B7" s="17" t="inlineStr">
        <is>
          <t>올데이우동 동명점</t>
        </is>
      </c>
      <c r="C7" s="17" t="inlineStr">
        <is>
          <t>식당</t>
        </is>
      </c>
      <c r="D7" s="17" t="inlineStr">
        <is>
          <t>동구 동명동</t>
        </is>
      </c>
      <c r="E7" s="18" t="inlineStr">
        <is>
          <t>광주광역시 동구 동계천로 151-31 1층</t>
        </is>
      </c>
      <c r="F7" s="19" t="n"/>
      <c r="G7" s="19" t="n"/>
      <c r="H7" s="20" t="inlineStr">
        <is>
          <t>11:30</t>
        </is>
      </c>
      <c r="I7" s="20" t="inlineStr">
        <is>
          <t>20:30</t>
        </is>
      </c>
      <c r="J7" s="17" t="n"/>
      <c r="K7" s="17" t="n">
        <v>40</v>
      </c>
      <c r="L7" s="21" t="n">
        <v>12000</v>
      </c>
      <c r="M7" s="18" t="inlineStr">
        <is>
          <t>붓가케 우동 9,000 / 우동돈까스 세트 15,000</t>
        </is>
      </c>
      <c r="N7" s="17" t="inlineStr">
        <is>
          <t>우동</t>
        </is>
      </c>
      <c r="O7" s="17" t="n"/>
      <c r="P7" s="17" t="inlineStr">
        <is>
          <t>식사</t>
        </is>
      </c>
      <c r="Q7" s="17" t="inlineStr">
        <is>
          <t>현대적</t>
        </is>
      </c>
      <c r="R7" s="17" t="inlineStr">
        <is>
          <t>실내</t>
        </is>
      </c>
      <c r="S7" s="17" t="inlineStr">
        <is>
          <t>오전, 오후, 저녁</t>
        </is>
      </c>
      <c r="T7" s="17" t="n"/>
      <c r="U7" s="17" t="n"/>
      <c r="V7" s="18" t="inlineStr">
        <is>
          <t>자가제면 언급</t>
        </is>
      </c>
      <c r="W7" s="17" t="inlineStr">
        <is>
          <t>Claude(웹 수집)</t>
        </is>
      </c>
      <c r="X7" s="22" t="inlineStr">
        <is>
          <t>2026-10-21</t>
        </is>
      </c>
      <c r="Y7" s="18" t="inlineStr">
        <is>
          <t>https://www.diningcode.com/profile.php?rid=JIpsbDuKo6Ox</t>
        </is>
      </c>
      <c r="Z7" s="18" t="inlineStr">
        <is>
          <t>초안(웹 수집). 현장 미확인 / 추정 칸: 머무는 시간·1인 지출·태그·지역 / 라스트오더 20:00</t>
        </is>
      </c>
    </row>
    <row r="8">
      <c r="A8" s="16" t="inlineStr">
        <is>
          <t>store_006</t>
        </is>
      </c>
      <c r="B8" s="17" t="inlineStr">
        <is>
          <t>첨단공원국밥 동명직영점</t>
        </is>
      </c>
      <c r="C8" s="17" t="inlineStr">
        <is>
          <t>식당</t>
        </is>
      </c>
      <c r="D8" s="17" t="inlineStr">
        <is>
          <t>동구 동명동</t>
        </is>
      </c>
      <c r="E8" s="18" t="inlineStr">
        <is>
          <t>광주광역시 동구 제봉로110번길 7 1층</t>
        </is>
      </c>
      <c r="F8" s="19" t="n"/>
      <c r="G8" s="19" t="n"/>
      <c r="H8" s="20" t="inlineStr">
        <is>
          <t>00:00</t>
        </is>
      </c>
      <c r="I8" s="20" t="inlineStr">
        <is>
          <t>24:00</t>
        </is>
      </c>
      <c r="J8" s="17" t="n"/>
      <c r="K8" s="17" t="n">
        <v>40</v>
      </c>
      <c r="L8" s="21" t="n">
        <v>22000</v>
      </c>
      <c r="M8" s="18" t="inlineStr">
        <is>
          <t>풍성한 모듬국밥 11,000 / 막창 전골 33,000</t>
        </is>
      </c>
      <c r="N8" s="17" t="inlineStr">
        <is>
          <t>국밥,막창볶음</t>
        </is>
      </c>
      <c r="O8" s="17" t="n"/>
      <c r="P8" s="17" t="inlineStr">
        <is>
          <t>식사</t>
        </is>
      </c>
      <c r="Q8" s="17" t="inlineStr">
        <is>
          <t>서민적</t>
        </is>
      </c>
      <c r="R8" s="17" t="inlineStr">
        <is>
          <t>실내</t>
        </is>
      </c>
      <c r="S8" s="17" t="inlineStr">
        <is>
          <t>오전, 오후, 저녁, 밤</t>
        </is>
      </c>
      <c r="T8" s="17" t="n"/>
      <c r="U8" s="17" t="n"/>
      <c r="V8" s="18" t="inlineStr">
        <is>
          <t>24시간 영업</t>
        </is>
      </c>
      <c r="W8" s="17" t="inlineStr">
        <is>
          <t>Claude(웹 수집)</t>
        </is>
      </c>
      <c r="X8" s="22" t="inlineStr">
        <is>
          <t>2026-10-21</t>
        </is>
      </c>
      <c r="Y8" s="18" t="inlineStr">
        <is>
          <t>https://www.diningcode.com/profile.php?rid=Y1kAcu0837Ua</t>
        </is>
      </c>
      <c r="Z8" s="18" t="inlineStr">
        <is>
          <t>초안(웹 수집). 현장 미확인 / 추정 칸: 머무는 시간·1인 지출·태그·지역</t>
        </is>
      </c>
    </row>
    <row r="9">
      <c r="A9" s="16" t="inlineStr">
        <is>
          <t>store_007</t>
        </is>
      </c>
      <c r="B9" s="17" t="inlineStr">
        <is>
          <t>왕산식당 본점</t>
        </is>
      </c>
      <c r="C9" s="17" t="inlineStr">
        <is>
          <t>식당</t>
        </is>
      </c>
      <c r="D9" s="17" t="inlineStr">
        <is>
          <t>동구 동명동</t>
        </is>
      </c>
      <c r="E9" s="18" t="inlineStr">
        <is>
          <t>광주광역시 동구 동명로14번길 6-1</t>
        </is>
      </c>
      <c r="F9" s="19" t="n"/>
      <c r="G9" s="19" t="n"/>
      <c r="H9" s="20" t="inlineStr">
        <is>
          <t>11:30</t>
        </is>
      </c>
      <c r="I9" s="20" t="inlineStr">
        <is>
          <t>22:00</t>
        </is>
      </c>
      <c r="J9" s="17" t="n"/>
      <c r="K9" s="17" t="n">
        <v>60</v>
      </c>
      <c r="L9" s="21" t="n">
        <v>12000</v>
      </c>
      <c r="M9" s="18" t="inlineStr">
        <is>
          <t>동파육덮밥 17,000 / 수란간짜장 12,000 / 소고기짬뽕 12,000</t>
        </is>
      </c>
      <c r="N9" s="17" t="inlineStr">
        <is>
          <t>중식</t>
        </is>
      </c>
      <c r="O9" s="17" t="n"/>
      <c r="P9" s="17" t="inlineStr">
        <is>
          <t>식사</t>
        </is>
      </c>
      <c r="Q9" s="17" t="inlineStr">
        <is>
          <t>감성적</t>
        </is>
      </c>
      <c r="R9" s="17" t="inlineStr">
        <is>
          <t>실내</t>
        </is>
      </c>
      <c r="S9" s="17" t="inlineStr">
        <is>
          <t>오전, 오후, 저녁</t>
        </is>
      </c>
      <c r="T9" s="17" t="n"/>
      <c r="U9" s="17" t="n"/>
      <c r="V9" s="18" t="inlineStr">
        <is>
          <t>주택 개조 중식당</t>
        </is>
      </c>
      <c r="W9" s="17" t="inlineStr">
        <is>
          <t>Claude(웹 수집)</t>
        </is>
      </c>
      <c r="X9" s="22" t="inlineStr">
        <is>
          <t>2026-10-21</t>
        </is>
      </c>
      <c r="Y9" s="18" t="inlineStr">
        <is>
          <t>https://www.diningcode.com/profile.php?rid=C7RCEVbvt0ao</t>
        </is>
      </c>
      <c r="Z9" s="18" t="inlineStr">
        <is>
          <t>초안(웹 수집). 현장 미확인 / 추정 칸: 머무는 시간·1인 지출·태그·지역 / 브레이크타임 15:00-17:00 / 라스트오더 20:30</t>
        </is>
      </c>
    </row>
    <row r="10">
      <c r="A10" s="16" t="inlineStr">
        <is>
          <t>store_008</t>
        </is>
      </c>
      <c r="B10" s="17" t="inlineStr">
        <is>
          <t>포카포카</t>
        </is>
      </c>
      <c r="C10" s="17" t="inlineStr">
        <is>
          <t>식당</t>
        </is>
      </c>
      <c r="D10" s="17" t="inlineStr">
        <is>
          <t>동구 동명동</t>
        </is>
      </c>
      <c r="E10" s="18" t="inlineStr">
        <is>
          <t>광주광역시 동구 동명로25번길 11 1층</t>
        </is>
      </c>
      <c r="F10" s="19" t="n"/>
      <c r="G10" s="19" t="n"/>
      <c r="H10" s="20" t="inlineStr">
        <is>
          <t>11:30</t>
        </is>
      </c>
      <c r="I10" s="20" t="inlineStr">
        <is>
          <t>21:00</t>
        </is>
      </c>
      <c r="J10" s="17" t="n"/>
      <c r="K10" s="17" t="n">
        <v>60</v>
      </c>
      <c r="L10" s="21" t="n">
        <v>16000</v>
      </c>
      <c r="M10" s="18" t="inlineStr">
        <is>
          <t>아부리사케동 정식 16,000 / 함바그하이라이스 16,500</t>
        </is>
      </c>
      <c r="N10" s="17" t="inlineStr">
        <is>
          <t>일본가정식,돈카츠</t>
        </is>
      </c>
      <c r="O10" s="17" t="n"/>
      <c r="P10" s="17" t="inlineStr">
        <is>
          <t>식사</t>
        </is>
      </c>
      <c r="Q10" s="17" t="inlineStr">
        <is>
          <t>현대적</t>
        </is>
      </c>
      <c r="R10" s="17" t="inlineStr">
        <is>
          <t>실내</t>
        </is>
      </c>
      <c r="S10" s="17" t="inlineStr">
        <is>
          <t>오전, 오후, 저녁</t>
        </is>
      </c>
      <c r="T10" s="17" t="n"/>
      <c r="U10" s="17" t="n"/>
      <c r="V10" s="18" t="inlineStr">
        <is>
          <t>주차불가 표기</t>
        </is>
      </c>
      <c r="W10" s="17" t="inlineStr">
        <is>
          <t>Claude(웹 수집)</t>
        </is>
      </c>
      <c r="X10" s="22" t="inlineStr">
        <is>
          <t>2026-10-21</t>
        </is>
      </c>
      <c r="Y10" s="18" t="inlineStr">
        <is>
          <t>https://www.diningcode.com/profile.php?rid=taZBC197m0fj</t>
        </is>
      </c>
      <c r="Z10" s="18" t="inlineStr">
        <is>
          <t>초안(웹 수집). 현장 미확인 / 추정 칸: 머무는 시간·1인 지출·태그·지역 / 브레이크타임 15:30-17:00 / 라스트오더 15:00,20:30 / 휴무 확인 필요(노동절·설·추석 당일)</t>
        </is>
      </c>
    </row>
    <row r="11">
      <c r="A11" s="16" t="inlineStr">
        <is>
          <t>store_009</t>
        </is>
      </c>
      <c r="B11" s="17" t="inlineStr">
        <is>
          <t>카에돈</t>
        </is>
      </c>
      <c r="C11" s="17" t="inlineStr">
        <is>
          <t>식당</t>
        </is>
      </c>
      <c r="D11" s="17" t="inlineStr">
        <is>
          <t>동구 동명동</t>
        </is>
      </c>
      <c r="E11" s="18" t="inlineStr">
        <is>
          <t>광주광역시 동구 동계천로 143-26 101호</t>
        </is>
      </c>
      <c r="F11" s="19" t="n"/>
      <c r="G11" s="19" t="n"/>
      <c r="H11" s="20" t="inlineStr">
        <is>
          <t>11:30</t>
        </is>
      </c>
      <c r="I11" s="20" t="inlineStr">
        <is>
          <t>21:00</t>
        </is>
      </c>
      <c r="J11" s="17" t="n"/>
      <c r="K11" s="17" t="n">
        <v>60</v>
      </c>
      <c r="L11" s="21" t="n">
        <v>16500</v>
      </c>
      <c r="M11" s="18" t="inlineStr">
        <is>
          <t>규카츠 18,000 / 상로스카츠 16,000 / 모듬카츠 17,000</t>
        </is>
      </c>
      <c r="N11" s="17" t="inlineStr">
        <is>
          <t>카츠</t>
        </is>
      </c>
      <c r="O11" s="17" t="n"/>
      <c r="P11" s="17" t="inlineStr">
        <is>
          <t>식사</t>
        </is>
      </c>
      <c r="Q11" s="17" t="inlineStr">
        <is>
          <t>현대적</t>
        </is>
      </c>
      <c r="R11" s="17" t="inlineStr">
        <is>
          <t>실내</t>
        </is>
      </c>
      <c r="S11" s="17" t="inlineStr">
        <is>
          <t>오전, 오후, 저녁</t>
        </is>
      </c>
      <c r="T11" s="17" t="n"/>
      <c r="U11" s="17" t="n"/>
      <c r="V11" s="18" t="n"/>
      <c r="W11" s="17" t="inlineStr">
        <is>
          <t>Claude(웹 수집)</t>
        </is>
      </c>
      <c r="X11" s="22" t="inlineStr">
        <is>
          <t>2026-10-21</t>
        </is>
      </c>
      <c r="Y11" s="18" t="inlineStr">
        <is>
          <t>https://www.diningcode.com/profile.php?rid=LnwIGem0cX0w</t>
        </is>
      </c>
      <c r="Z11" s="18" t="inlineStr">
        <is>
          <t>초안(웹 수집). 현장 미확인 / 추정 칸: 머무는 시간·1인 지출·태그·지역 / 브레이크타임 15:00-17:00 / 라스트오더 20:00 / 휴무 확인 필요(요일 미표시)</t>
        </is>
      </c>
    </row>
    <row r="12">
      <c r="A12" s="16" t="inlineStr">
        <is>
          <t>store_010</t>
        </is>
      </c>
      <c r="B12" s="17" t="inlineStr">
        <is>
          <t>미노라멘</t>
        </is>
      </c>
      <c r="C12" s="17" t="inlineStr">
        <is>
          <t>식당</t>
        </is>
      </c>
      <c r="D12" s="17" t="inlineStr">
        <is>
          <t>동구 동명동</t>
        </is>
      </c>
      <c r="E12" s="18" t="inlineStr">
        <is>
          <t>광주광역시 동구 동계로10번길 14 1층</t>
        </is>
      </c>
      <c r="F12" s="19" t="n"/>
      <c r="G12" s="19" t="n"/>
      <c r="H12" s="20" t="inlineStr">
        <is>
          <t>11:30</t>
        </is>
      </c>
      <c r="I12" s="20" t="inlineStr">
        <is>
          <t>20:30</t>
        </is>
      </c>
      <c r="J12" s="17" t="n"/>
      <c r="K12" s="17" t="n">
        <v>40</v>
      </c>
      <c r="L12" s="21" t="n">
        <v>8000</v>
      </c>
      <c r="M12" s="18" t="inlineStr">
        <is>
          <t>늘먹던걸로 11,000 / 챠-항 5,000</t>
        </is>
      </c>
      <c r="N12" s="17" t="inlineStr">
        <is>
          <t>라멘</t>
        </is>
      </c>
      <c r="O12" s="17" t="n"/>
      <c r="P12" s="17" t="inlineStr">
        <is>
          <t>식사</t>
        </is>
      </c>
      <c r="Q12" s="17" t="inlineStr">
        <is>
          <t>현대적</t>
        </is>
      </c>
      <c r="R12" s="17" t="inlineStr">
        <is>
          <t>실내</t>
        </is>
      </c>
      <c r="S12" s="17" t="inlineStr">
        <is>
          <t>오전, 오후, 저녁</t>
        </is>
      </c>
      <c r="T12" s="17" t="n"/>
      <c r="U12" s="17" t="n"/>
      <c r="V12" s="18" t="n"/>
      <c r="W12" s="17" t="inlineStr">
        <is>
          <t>Claude(웹 수집)</t>
        </is>
      </c>
      <c r="X12" s="22" t="inlineStr">
        <is>
          <t>2026-10-21</t>
        </is>
      </c>
      <c r="Y12" s="18" t="inlineStr">
        <is>
          <t>https://www.diningcode.com/profile.php?rid=CNRXlAEZ9w0r</t>
        </is>
      </c>
      <c r="Z12" s="18" t="inlineStr">
        <is>
          <t>초안(웹 수집). 현장 미확인 / 추정 칸: 머무는 시간·1인 지출·태그·지역 / 브레이크타임 15:00-17:00 / 라스트오더 14:30,20:00</t>
        </is>
      </c>
    </row>
    <row r="13">
      <c r="A13" s="16" t="inlineStr">
        <is>
          <t>store_011</t>
        </is>
      </c>
      <c r="B13" s="17" t="inlineStr">
        <is>
          <t>토메이 스시</t>
        </is>
      </c>
      <c r="C13" s="17" t="inlineStr">
        <is>
          <t>식당</t>
        </is>
      </c>
      <c r="D13" s="17" t="inlineStr">
        <is>
          <t>동구 동명동</t>
        </is>
      </c>
      <c r="E13" s="18" t="inlineStr">
        <is>
          <t>광주광역시 동구 동계천로 155</t>
        </is>
      </c>
      <c r="F13" s="19" t="n"/>
      <c r="G13" s="19" t="n"/>
      <c r="H13" s="20" t="inlineStr">
        <is>
          <t>11:30</t>
        </is>
      </c>
      <c r="I13" s="20" t="inlineStr">
        <is>
          <t>22:00</t>
        </is>
      </c>
      <c r="J13" s="17" t="inlineStr">
        <is>
          <t>일</t>
        </is>
      </c>
      <c r="K13" s="17" t="n">
        <v>60</v>
      </c>
      <c r="L13" s="21" t="n">
        <v>18000</v>
      </c>
      <c r="M13" s="18" t="inlineStr">
        <is>
          <t>모듬사시미 32,000 / 토메이특초밥 20,000 / 연어불초밥 16,000</t>
        </is>
      </c>
      <c r="N13" s="17" t="inlineStr">
        <is>
          <t>초밥</t>
        </is>
      </c>
      <c r="O13" s="17" t="n"/>
      <c r="P13" s="17" t="inlineStr">
        <is>
          <t>식사</t>
        </is>
      </c>
      <c r="Q13" s="17" t="inlineStr">
        <is>
          <t>현대적</t>
        </is>
      </c>
      <c r="R13" s="17" t="inlineStr">
        <is>
          <t>실내</t>
        </is>
      </c>
      <c r="S13" s="17" t="inlineStr">
        <is>
          <t>오전, 오후, 저녁</t>
        </is>
      </c>
      <c r="T13" s="17" t="n"/>
      <c r="U13" s="17" t="n"/>
      <c r="V13" s="18" t="n"/>
      <c r="W13" s="17" t="inlineStr">
        <is>
          <t>Claude(웹 수집)</t>
        </is>
      </c>
      <c r="X13" s="22" t="inlineStr">
        <is>
          <t>2026-10-21</t>
        </is>
      </c>
      <c r="Y13" s="18" t="inlineStr">
        <is>
          <t>https://www.diningcode.com/profile.php?rid=J8l2LgZyc1jl</t>
        </is>
      </c>
      <c r="Z13" s="18" t="inlineStr">
        <is>
          <t>초안(웹 수집). 현장 미확인 / 추정 칸: 머무는 시간·1인 지출·태그·지역 / 브레이크타임 15:00-17:00 / 라스트오더 21:00</t>
        </is>
      </c>
    </row>
    <row r="14">
      <c r="A14" s="16" t="inlineStr">
        <is>
          <t>store_012</t>
        </is>
      </c>
      <c r="B14" s="17" t="inlineStr">
        <is>
          <t>저스트텐동 동리단길점</t>
        </is>
      </c>
      <c r="C14" s="17" t="inlineStr">
        <is>
          <t>식당</t>
        </is>
      </c>
      <c r="D14" s="17" t="inlineStr">
        <is>
          <t>동구 동명동</t>
        </is>
      </c>
      <c r="E14" s="18" t="inlineStr">
        <is>
          <t>광주광역시 동구 장동로 23-22 1층</t>
        </is>
      </c>
      <c r="F14" s="19" t="n"/>
      <c r="G14" s="19" t="n"/>
      <c r="H14" s="20" t="inlineStr">
        <is>
          <t>11:30</t>
        </is>
      </c>
      <c r="I14" s="20" t="inlineStr">
        <is>
          <t>21:00</t>
        </is>
      </c>
      <c r="J14" s="17" t="n"/>
      <c r="K14" s="17" t="n">
        <v>40</v>
      </c>
      <c r="L14" s="21" t="n">
        <v>15000</v>
      </c>
      <c r="M14" s="18" t="inlineStr">
        <is>
          <t>스페셜텐동 17,900 / 저스트텐동 11,900</t>
        </is>
      </c>
      <c r="N14" s="17" t="inlineStr">
        <is>
          <t>텐동</t>
        </is>
      </c>
      <c r="O14" s="17" t="n"/>
      <c r="P14" s="17" t="inlineStr">
        <is>
          <t>식사</t>
        </is>
      </c>
      <c r="Q14" s="17" t="inlineStr">
        <is>
          <t>현대적</t>
        </is>
      </c>
      <c r="R14" s="17" t="inlineStr">
        <is>
          <t>실내</t>
        </is>
      </c>
      <c r="S14" s="17" t="inlineStr">
        <is>
          <t>오전, 오후, 저녁</t>
        </is>
      </c>
      <c r="T14" s="17" t="n"/>
      <c r="U14" s="17" t="n"/>
      <c r="V14" s="18" t="inlineStr">
        <is>
          <t>무료주차 표기</t>
        </is>
      </c>
      <c r="W14" s="17" t="inlineStr">
        <is>
          <t>Claude(웹 수집)</t>
        </is>
      </c>
      <c r="X14" s="22" t="inlineStr">
        <is>
          <t>2026-10-21</t>
        </is>
      </c>
      <c r="Y14" s="18" t="inlineStr">
        <is>
          <t>https://www.diningcode.com/profile.php?rid=ogFxmCC5QVvN</t>
        </is>
      </c>
      <c r="Z14" s="18" t="inlineStr">
        <is>
          <t>초안(웹 수집). 현장 미확인 / 추정 칸: 머무는 시간·1인 지출·태그·지역 / 브레이크타임 15:00-17:00 / 라스트오더 14:30,20:30 / 휴무 확인 필요(확인필요(블로그 월요일 언급))</t>
        </is>
      </c>
    </row>
    <row r="15">
      <c r="A15" s="16" t="inlineStr">
        <is>
          <t>store_013</t>
        </is>
      </c>
      <c r="B15" s="17" t="inlineStr">
        <is>
          <t>백식</t>
        </is>
      </c>
      <c r="C15" s="17" t="inlineStr">
        <is>
          <t>식당</t>
        </is>
      </c>
      <c r="D15" s="17" t="inlineStr">
        <is>
          <t>동구 동명동</t>
        </is>
      </c>
      <c r="E15" s="18" t="inlineStr">
        <is>
          <t>광주광역시 동구 동명로20번길 17-6</t>
        </is>
      </c>
      <c r="F15" s="19" t="n"/>
      <c r="G15" s="19" t="n"/>
      <c r="H15" s="20" t="inlineStr">
        <is>
          <t>10:50</t>
        </is>
      </c>
      <c r="I15" s="20" t="inlineStr">
        <is>
          <t>21:00</t>
        </is>
      </c>
      <c r="J15" s="17" t="n"/>
      <c r="K15" s="17" t="n">
        <v>60</v>
      </c>
      <c r="L15" s="21" t="n">
        <v>24500</v>
      </c>
      <c r="M15" s="18" t="inlineStr">
        <is>
          <t>백식 사시미 정식 23,000 / 특선 사시미 정식 29,000 / 장어 덮밥 정식 26,000</t>
        </is>
      </c>
      <c r="N15" s="17" t="inlineStr">
        <is>
          <t>일식</t>
        </is>
      </c>
      <c r="O15" s="17" t="n"/>
      <c r="P15" s="17" t="inlineStr">
        <is>
          <t>식사</t>
        </is>
      </c>
      <c r="Q15" s="17" t="inlineStr">
        <is>
          <t>현대적</t>
        </is>
      </c>
      <c r="R15" s="17" t="inlineStr">
        <is>
          <t>실내</t>
        </is>
      </c>
      <c r="S15" s="17" t="inlineStr">
        <is>
          <t>오전, 오후, 저녁</t>
        </is>
      </c>
      <c r="T15" s="17" t="n"/>
      <c r="U15" s="17" t="n"/>
      <c r="V15" s="18" t="inlineStr">
        <is>
          <t>예약가능</t>
        </is>
      </c>
      <c r="W15" s="17" t="inlineStr">
        <is>
          <t>Claude(웹 수집)</t>
        </is>
      </c>
      <c r="X15" s="22" t="inlineStr">
        <is>
          <t>2026-10-21</t>
        </is>
      </c>
      <c r="Y15" s="18" t="inlineStr">
        <is>
          <t>https://www.diningcode.com/profile.php?rid=KAFfsG2dyxU9</t>
        </is>
      </c>
      <c r="Z15" s="18" t="inlineStr">
        <is>
          <t>초안(웹 수집). 현장 미확인 / 추정 칸: 머무는 시간·1인 지출·태그·지역 / 라스트오더 20:00</t>
        </is>
      </c>
    </row>
    <row r="16">
      <c r="A16" s="16" t="inlineStr">
        <is>
          <t>store_014</t>
        </is>
      </c>
      <c r="B16" s="17" t="inlineStr">
        <is>
          <t>카키노키</t>
        </is>
      </c>
      <c r="C16" s="17" t="inlineStr">
        <is>
          <t>식당</t>
        </is>
      </c>
      <c r="D16" s="17" t="inlineStr">
        <is>
          <t>동구 동명동</t>
        </is>
      </c>
      <c r="E16" s="18" t="inlineStr">
        <is>
          <t>광주광역시 동구 장동로 23-57 1층</t>
        </is>
      </c>
      <c r="F16" s="19" t="n"/>
      <c r="G16" s="19" t="n"/>
      <c r="H16" s="20" t="inlineStr">
        <is>
          <t>11:30</t>
        </is>
      </c>
      <c r="I16" s="20" t="inlineStr">
        <is>
          <t>21:00</t>
        </is>
      </c>
      <c r="J16" s="17" t="n"/>
      <c r="K16" s="17" t="n">
        <v>60</v>
      </c>
      <c r="L16" s="21" t="n">
        <v>14500</v>
      </c>
      <c r="M16" s="18" t="inlineStr">
        <is>
          <t>숯불부타동 정식 13,000 / 모듬카츠동 정식 16,000 / 들기름 막국수 정식 16,000</t>
        </is>
      </c>
      <c r="N16" s="17" t="inlineStr">
        <is>
          <t>일본가정식</t>
        </is>
      </c>
      <c r="O16" s="17" t="n"/>
      <c r="P16" s="17" t="inlineStr">
        <is>
          <t>식사</t>
        </is>
      </c>
      <c r="Q16" s="17" t="inlineStr">
        <is>
          <t>현대적</t>
        </is>
      </c>
      <c r="R16" s="17" t="inlineStr">
        <is>
          <t>실내</t>
        </is>
      </c>
      <c r="S16" s="17" t="inlineStr">
        <is>
          <t>오전, 오후, 저녁</t>
        </is>
      </c>
      <c r="T16" s="17" t="n"/>
      <c r="U16" s="17" t="n"/>
      <c r="V16" s="18" t="n"/>
      <c r="W16" s="17" t="inlineStr">
        <is>
          <t>Claude(웹 수집)</t>
        </is>
      </c>
      <c r="X16" s="22" t="inlineStr">
        <is>
          <t>2026-10-21</t>
        </is>
      </c>
      <c r="Y16" s="18" t="inlineStr">
        <is>
          <t>https://www.diningcode.com/profile.php?rid=m0tTLUydeeLd</t>
        </is>
      </c>
      <c r="Z16" s="18" t="inlineStr">
        <is>
          <t>초안(웹 수집). 현장 미확인 / 추정 칸: 머무는 시간·1인 지출·태그·지역 / 라스트오더 20:30</t>
        </is>
      </c>
    </row>
    <row r="17">
      <c r="A17" s="16" t="inlineStr">
        <is>
          <t>store_015</t>
        </is>
      </c>
      <c r="B17" s="17" t="inlineStr">
        <is>
          <t>뽁식당 동명동점</t>
        </is>
      </c>
      <c r="C17" s="17" t="inlineStr">
        <is>
          <t>식당</t>
        </is>
      </c>
      <c r="D17" s="17" t="inlineStr">
        <is>
          <t>동구 동명동</t>
        </is>
      </c>
      <c r="E17" s="18" t="inlineStr">
        <is>
          <t>광주광역시 동구 동계천로 126-5 1층</t>
        </is>
      </c>
      <c r="F17" s="19" t="n"/>
      <c r="G17" s="19" t="n"/>
      <c r="H17" s="20" t="inlineStr">
        <is>
          <t>11:30</t>
        </is>
      </c>
      <c r="I17" s="20" t="inlineStr">
        <is>
          <t>21:00</t>
        </is>
      </c>
      <c r="J17" s="17" t="n"/>
      <c r="K17" s="17" t="n">
        <v>60</v>
      </c>
      <c r="L17" s="21" t="n">
        <v>9500</v>
      </c>
      <c r="M17" s="18" t="inlineStr">
        <is>
          <t>뽁식당 혼밥세트 10,400 / 피자 세트 33,700 / 오감베로 파스타 8,900</t>
        </is>
      </c>
      <c r="N17" s="17" t="inlineStr">
        <is>
          <t>파스타,양식</t>
        </is>
      </c>
      <c r="O17" s="17" t="n"/>
      <c r="P17" s="17" t="inlineStr">
        <is>
          <t>식사</t>
        </is>
      </c>
      <c r="Q17" s="17" t="inlineStr">
        <is>
          <t>현대적</t>
        </is>
      </c>
      <c r="R17" s="17" t="inlineStr">
        <is>
          <t>실내</t>
        </is>
      </c>
      <c r="S17" s="17" t="inlineStr">
        <is>
          <t>오전, 오후, 저녁</t>
        </is>
      </c>
      <c r="T17" s="17" t="n"/>
      <c r="U17" s="17" t="n"/>
      <c r="V17" s="18" t="inlineStr">
        <is>
          <t>무료주차</t>
        </is>
      </c>
      <c r="W17" s="17" t="inlineStr">
        <is>
          <t>Claude(웹 수집)</t>
        </is>
      </c>
      <c r="X17" s="22" t="inlineStr">
        <is>
          <t>2026-10-21</t>
        </is>
      </c>
      <c r="Y17" s="18" t="inlineStr">
        <is>
          <t>https://www.diningcode.com/profile.php?rid=ot4UCmT6Tq0n</t>
        </is>
      </c>
      <c r="Z17" s="18" t="inlineStr">
        <is>
          <t>초안(웹 수집). 현장 미확인 / 추정 칸: 머무는 시간·1인 지출·태그·지역 / 브레이크타임 15:00-17:00 / 라스트오더 20:10</t>
        </is>
      </c>
    </row>
    <row r="18">
      <c r="A18" s="16" t="inlineStr">
        <is>
          <t>store_016</t>
        </is>
      </c>
      <c r="B18" s="17" t="inlineStr">
        <is>
          <t>라그로쏘</t>
        </is>
      </c>
      <c r="C18" s="17" t="inlineStr">
        <is>
          <t>식당</t>
        </is>
      </c>
      <c r="D18" s="17" t="inlineStr">
        <is>
          <t>동구 충장로</t>
        </is>
      </c>
      <c r="E18" s="18" t="inlineStr">
        <is>
          <t>광주광역시 동구 중앙로252번길 11 1,2층</t>
        </is>
      </c>
      <c r="F18" s="19" t="n"/>
      <c r="G18" s="19" t="n"/>
      <c r="H18" s="20" t="inlineStr">
        <is>
          <t>11:30</t>
        </is>
      </c>
      <c r="I18" s="20" t="inlineStr">
        <is>
          <t>22:00</t>
        </is>
      </c>
      <c r="J18" s="17" t="inlineStr">
        <is>
          <t>화,수</t>
        </is>
      </c>
      <c r="K18" s="17" t="n">
        <v>60</v>
      </c>
      <c r="L18" s="21" t="n">
        <v>16500</v>
      </c>
      <c r="M18" s="18" t="inlineStr">
        <is>
          <t>마르게리타 D.O.P 15,000 / 비스큐 스파게티니 18,000</t>
        </is>
      </c>
      <c r="N18" s="17" t="inlineStr">
        <is>
          <t>피자,파스타</t>
        </is>
      </c>
      <c r="O18" s="17" t="n"/>
      <c r="P18" s="17" t="inlineStr">
        <is>
          <t>식사</t>
        </is>
      </c>
      <c r="Q18" s="17" t="inlineStr">
        <is>
          <t>현대적</t>
        </is>
      </c>
      <c r="R18" s="17" t="inlineStr">
        <is>
          <t>실내</t>
        </is>
      </c>
      <c r="S18" s="17" t="inlineStr">
        <is>
          <t>오전, 오후, 저녁</t>
        </is>
      </c>
      <c r="T18" s="17" t="n"/>
      <c r="U18" s="17" t="n"/>
      <c r="V18" s="18" t="inlineStr">
        <is>
          <t>화덕 피자</t>
        </is>
      </c>
      <c r="W18" s="17" t="inlineStr">
        <is>
          <t>Claude(웹 수집)</t>
        </is>
      </c>
      <c r="X18" s="22" t="inlineStr">
        <is>
          <t>2026-10-21</t>
        </is>
      </c>
      <c r="Y18" s="18" t="inlineStr">
        <is>
          <t>https://www.diningcode.com/profile.php?rid=ANZzYl13xxDq</t>
        </is>
      </c>
      <c r="Z18" s="18" t="inlineStr">
        <is>
          <t>초안(웹 수집). 현장 미확인 / 추정 칸: 머무는 시간·1인 지출·태그·지역 / 영업시간 참고: 블로그 기준 / 브레이크타임 15:30-17:00(블로그) / 라스트오더 14:30,21:00 / 휴무 근거: 블로그</t>
        </is>
      </c>
    </row>
    <row r="19">
      <c r="A19" s="16" t="inlineStr">
        <is>
          <t>store_017</t>
        </is>
      </c>
      <c r="B19" s="17" t="inlineStr">
        <is>
          <t>900달러</t>
        </is>
      </c>
      <c r="C19" s="17" t="inlineStr">
        <is>
          <t>식당</t>
        </is>
      </c>
      <c r="D19" s="17" t="inlineStr">
        <is>
          <t>동구 동명동</t>
        </is>
      </c>
      <c r="E19" s="18" t="inlineStr">
        <is>
          <t>광주광역시 동구 동계천로 103-2</t>
        </is>
      </c>
      <c r="F19" s="19" t="n"/>
      <c r="G19" s="19" t="n"/>
      <c r="H19" s="20" t="inlineStr">
        <is>
          <t>11:30</t>
        </is>
      </c>
      <c r="I19" s="20" t="inlineStr">
        <is>
          <t>23:00</t>
        </is>
      </c>
      <c r="J19" s="17" t="n"/>
      <c r="K19" s="17" t="n">
        <v>60</v>
      </c>
      <c r="L19" s="21" t="n">
        <v>23500</v>
      </c>
      <c r="M19" s="18" t="inlineStr">
        <is>
          <t>하프/하프 피자 24,500 / 고구마피자 24,000 / 페퍼로니피자 23,000</t>
        </is>
      </c>
      <c r="N19" s="17" t="inlineStr">
        <is>
          <t>피자</t>
        </is>
      </c>
      <c r="O19" s="17" t="n"/>
      <c r="P19" s="17" t="inlineStr">
        <is>
          <t>식사</t>
        </is>
      </c>
      <c r="Q19" s="17" t="inlineStr">
        <is>
          <t>현대적</t>
        </is>
      </c>
      <c r="R19" s="17" t="inlineStr">
        <is>
          <t>실내</t>
        </is>
      </c>
      <c r="S19" s="17" t="inlineStr">
        <is>
          <t>오전, 오후, 저녁, 밤</t>
        </is>
      </c>
      <c r="T19" s="17" t="n"/>
      <c r="U19" s="17" t="n"/>
      <c r="V19" s="18" t="inlineStr">
        <is>
          <t>전용주차장 없음</t>
        </is>
      </c>
      <c r="W19" s="17" t="inlineStr">
        <is>
          <t>Claude(웹 수집)</t>
        </is>
      </c>
      <c r="X19" s="22" t="inlineStr">
        <is>
          <t>2026-10-21</t>
        </is>
      </c>
      <c r="Y19" s="18" t="inlineStr">
        <is>
          <t>https://www.diningcode.com/profile.php?rid=WINBF2d9a4jP</t>
        </is>
      </c>
      <c r="Z19" s="18" t="inlineStr">
        <is>
          <t>초안(웹 수집). 현장 미확인 / 추정 칸: 머무는 시간·1인 지출·태그·지역 / 라스트오더 22:00 / 휴무 확인 필요(확인필요(블로그 수요일))</t>
        </is>
      </c>
    </row>
    <row r="20">
      <c r="A20" s="16" t="inlineStr">
        <is>
          <t>store_018</t>
        </is>
      </c>
      <c r="B20" s="17" t="inlineStr">
        <is>
          <t>르 자민</t>
        </is>
      </c>
      <c r="C20" s="17" t="inlineStr">
        <is>
          <t>식당</t>
        </is>
      </c>
      <c r="D20" s="17" t="inlineStr">
        <is>
          <t>동구 동명동</t>
        </is>
      </c>
      <c r="E20" s="18" t="inlineStr">
        <is>
          <t>광주광역시 동구 장동로 13 2층</t>
        </is>
      </c>
      <c r="F20" s="19" t="n"/>
      <c r="G20" s="19" t="n"/>
      <c r="H20" s="20" t="inlineStr">
        <is>
          <t>11:30</t>
        </is>
      </c>
      <c r="I20" s="20" t="inlineStr">
        <is>
          <t>21:30</t>
        </is>
      </c>
      <c r="J20" s="17" t="n"/>
      <c r="K20" s="17" t="n">
        <v>80</v>
      </c>
      <c r="L20" s="21" t="n">
        <v>50500</v>
      </c>
      <c r="M20" s="18" t="inlineStr">
        <is>
          <t>티본 스테이크 79,000 / 부채 스테이크 36,000 / 본인뉴욕 스테이크 65,000</t>
        </is>
      </c>
      <c r="N20" s="17" t="inlineStr">
        <is>
          <t>스테이크</t>
        </is>
      </c>
      <c r="O20" s="17" t="n"/>
      <c r="P20" s="17" t="inlineStr">
        <is>
          <t>식사</t>
        </is>
      </c>
      <c r="Q20" s="17" t="inlineStr">
        <is>
          <t>현대적</t>
        </is>
      </c>
      <c r="R20" s="17" t="inlineStr">
        <is>
          <t>실내</t>
        </is>
      </c>
      <c r="S20" s="17" t="inlineStr">
        <is>
          <t>오전, 오후, 저녁</t>
        </is>
      </c>
      <c r="T20" s="17" t="n"/>
      <c r="U20" s="17" t="n"/>
      <c r="V20" s="18" t="inlineStr">
        <is>
          <t>예약가능,무료주차</t>
        </is>
      </c>
      <c r="W20" s="17" t="inlineStr">
        <is>
          <t>Claude(웹 수집)</t>
        </is>
      </c>
      <c r="X20" s="22" t="inlineStr">
        <is>
          <t>2026-10-21</t>
        </is>
      </c>
      <c r="Y20" s="18" t="inlineStr">
        <is>
          <t>https://www.diningcode.com/profile.php?rid=bmNBhUBYABLx</t>
        </is>
      </c>
      <c r="Z20" s="18" t="inlineStr">
        <is>
          <t>초안(웹 수집). 현장 미확인 / 추정 칸: 머무는 시간·1인 지출·태그·지역 / 브레이크타임 15:00-17:00 / 라스트오더 20:30</t>
        </is>
      </c>
    </row>
    <row r="21">
      <c r="A21" s="16" t="inlineStr">
        <is>
          <t>store_019</t>
        </is>
      </c>
      <c r="B21" s="17" t="inlineStr">
        <is>
          <t>사보타지</t>
        </is>
      </c>
      <c r="C21" s="17" t="inlineStr">
        <is>
          <t>식당</t>
        </is>
      </c>
      <c r="D21" s="17" t="inlineStr">
        <is>
          <t>동구 동명동</t>
        </is>
      </c>
      <c r="E21" s="18" t="inlineStr">
        <is>
          <t>광주광역시 동구 동계천로95번길 12</t>
        </is>
      </c>
      <c r="F21" s="19" t="n"/>
      <c r="G21" s="19" t="n"/>
      <c r="H21" s="20" t="inlineStr">
        <is>
          <t>09:00</t>
        </is>
      </c>
      <c r="I21" s="20" t="inlineStr">
        <is>
          <t>15:00</t>
        </is>
      </c>
      <c r="J21" s="17" t="n"/>
      <c r="K21" s="17" t="n">
        <v>60</v>
      </c>
      <c r="L21" s="21" t="n">
        <v>13000</v>
      </c>
      <c r="M21" s="18" t="inlineStr">
        <is>
          <t>팬케이크 플레이트 12,900 / 와플 플레이트 12,900</t>
        </is>
      </c>
      <c r="N21" s="17" t="inlineStr">
        <is>
          <t>브런치</t>
        </is>
      </c>
      <c r="O21" s="17" t="n"/>
      <c r="P21" s="17" t="inlineStr">
        <is>
          <t>식사</t>
        </is>
      </c>
      <c r="Q21" s="17" t="inlineStr">
        <is>
          <t>현대적</t>
        </is>
      </c>
      <c r="R21" s="17" t="inlineStr">
        <is>
          <t>실내</t>
        </is>
      </c>
      <c r="S21" s="17" t="inlineStr">
        <is>
          <t>오전, 오후</t>
        </is>
      </c>
      <c r="T21" s="17" t="n"/>
      <c r="U21" s="17" t="n"/>
      <c r="V21" s="18" t="inlineStr">
        <is>
          <t>미국 가정식 콘셉트</t>
        </is>
      </c>
      <c r="W21" s="17" t="inlineStr">
        <is>
          <t>Claude(웹 수집)</t>
        </is>
      </c>
      <c r="X21" s="22" t="inlineStr">
        <is>
          <t>2026-10-21</t>
        </is>
      </c>
      <c r="Y21" s="18" t="inlineStr">
        <is>
          <t>https://www.diningcode.com/profile.php?rid=yvEk745bQ5uI</t>
        </is>
      </c>
      <c r="Z21" s="18" t="inlineStr">
        <is>
          <t>초안(웹 수집). 현장 미확인 / 추정 칸: 머무는 시간·1인 지출·태그·지역 / 영업시간 참고: 평일 기준. 주말 09:00-16:00 / 라스트오더 평일14:30 주말15:30</t>
        </is>
      </c>
    </row>
    <row r="22">
      <c r="A22" s="16" t="inlineStr">
        <is>
          <t>store_020</t>
        </is>
      </c>
      <c r="B22" s="17" t="inlineStr">
        <is>
          <t>미미원</t>
        </is>
      </c>
      <c r="C22" s="17" t="inlineStr">
        <is>
          <t>식당</t>
        </is>
      </c>
      <c r="D22" s="17" t="inlineStr">
        <is>
          <t>동구 동명동</t>
        </is>
      </c>
      <c r="E22" s="18" t="inlineStr">
        <is>
          <t>광주 동구 백서로 218</t>
        </is>
      </c>
      <c r="F22" s="19" t="n"/>
      <c r="G22" s="19" t="n"/>
      <c r="H22" s="20" t="inlineStr">
        <is>
          <t>11:30</t>
        </is>
      </c>
      <c r="I22" s="20" t="inlineStr">
        <is>
          <t>21:30</t>
        </is>
      </c>
      <c r="J22" s="17" t="n"/>
      <c r="K22" s="17" t="n">
        <v>60</v>
      </c>
      <c r="L22" s="21" t="n">
        <v>16500</v>
      </c>
      <c r="M22" s="18" t="inlineStr">
        <is>
          <t>육전 29,000 / 낙지전 28,000 / 키조개전 27,000 / 매생이떡국 6,000</t>
        </is>
      </c>
      <c r="N22" s="17" t="inlineStr">
        <is>
          <t>육전</t>
        </is>
      </c>
      <c r="O22" s="17" t="n"/>
      <c r="P22" s="17" t="inlineStr">
        <is>
          <t>식사</t>
        </is>
      </c>
      <c r="Q22" s="17" t="inlineStr">
        <is>
          <t>현대적</t>
        </is>
      </c>
      <c r="R22" s="17" t="inlineStr">
        <is>
          <t>실내</t>
        </is>
      </c>
      <c r="S22" s="17" t="inlineStr">
        <is>
          <t>오전, 오후, 저녁</t>
        </is>
      </c>
      <c r="T22" s="17" t="n"/>
      <c r="U22" s="17" t="n"/>
      <c r="V22" s="18" t="inlineStr">
        <is>
          <t>재료소진시 조기마감</t>
        </is>
      </c>
      <c r="W22" s="17" t="inlineStr">
        <is>
          <t>Claude(웹 수집)</t>
        </is>
      </c>
      <c r="X22" s="22" t="inlineStr">
        <is>
          <t>2026-10-21</t>
        </is>
      </c>
      <c r="Y22" s="18" t="inlineStr">
        <is>
          <t>https://forourtour.com/%EB%8F%99%EB%AA%85%EB%8F%99-%EB%A7%9B%EC%A7%91/</t>
        </is>
      </c>
      <c r="Z22" s="18" t="inlineStr">
        <is>
          <t>초안(웹 수집). 현장 미확인 / 추정 칸: 머무는 시간·1인 지출·태그·지역 / 브레이크타임 15:00-17:00 / 라스트오더 14:00</t>
        </is>
      </c>
    </row>
    <row r="23">
      <c r="A23" s="16" t="inlineStr">
        <is>
          <t>store_021</t>
        </is>
      </c>
      <c r="B23" s="17" t="inlineStr">
        <is>
          <t>규슈</t>
        </is>
      </c>
      <c r="C23" s="17" t="inlineStr">
        <is>
          <t>식당</t>
        </is>
      </c>
      <c r="D23" s="17" t="inlineStr">
        <is>
          <t>동구 동명동</t>
        </is>
      </c>
      <c r="E23" s="18" t="inlineStr">
        <is>
          <t>광주 동구 동명로 47-3</t>
        </is>
      </c>
      <c r="F23" s="19" t="n"/>
      <c r="G23" s="19" t="n"/>
      <c r="H23" s="20" t="inlineStr">
        <is>
          <t>11:30</t>
        </is>
      </c>
      <c r="I23" s="20" t="inlineStr">
        <is>
          <t>21:00</t>
        </is>
      </c>
      <c r="J23" s="17" t="n"/>
      <c r="K23" s="17" t="n">
        <v>80</v>
      </c>
      <c r="L23" s="21" t="n">
        <v>5000</v>
      </c>
      <c r="M23" s="18" t="inlineStr">
        <is>
          <t>샤브 2인 세트(호주산) 29,800 / 유부주머니 5,000</t>
        </is>
      </c>
      <c r="N23" s="17" t="inlineStr">
        <is>
          <t>샤브샤브</t>
        </is>
      </c>
      <c r="O23" s="17" t="n"/>
      <c r="P23" s="17" t="inlineStr">
        <is>
          <t>식사</t>
        </is>
      </c>
      <c r="Q23" s="17" t="inlineStr">
        <is>
          <t>현대적</t>
        </is>
      </c>
      <c r="R23" s="17" t="inlineStr">
        <is>
          <t>실내</t>
        </is>
      </c>
      <c r="S23" s="17" t="inlineStr">
        <is>
          <t>오전, 오후, 저녁</t>
        </is>
      </c>
      <c r="T23" s="17" t="n"/>
      <c r="U23" s="17" t="n"/>
      <c r="V23" s="18" t="inlineStr">
        <is>
          <t>하루 100인분 한정</t>
        </is>
      </c>
      <c r="W23" s="17" t="inlineStr">
        <is>
          <t>Claude(웹 수집)</t>
        </is>
      </c>
      <c r="X23" s="22" t="inlineStr">
        <is>
          <t>2026-10-21</t>
        </is>
      </c>
      <c r="Y23" s="18" t="inlineStr">
        <is>
          <t>https://forourtour.com/%EB%8F%99%EB%AA%85%EB%8F%99-%EB%A7%9B%EC%A7%91/</t>
        </is>
      </c>
      <c r="Z23" s="18" t="inlineStr">
        <is>
          <t>초안(웹 수집). 현장 미확인 / 추정 칸: 머무는 시간·1인 지출·태그·지역</t>
        </is>
      </c>
    </row>
    <row r="24">
      <c r="A24" s="16" t="inlineStr">
        <is>
          <t>store_022</t>
        </is>
      </c>
      <c r="B24" s="17" t="inlineStr">
        <is>
          <t>목하식당</t>
        </is>
      </c>
      <c r="C24" s="17" t="inlineStr">
        <is>
          <t>식당</t>
        </is>
      </c>
      <c r="D24" s="17" t="inlineStr">
        <is>
          <t>동구 동명동</t>
        </is>
      </c>
      <c r="E24" s="18" t="inlineStr">
        <is>
          <t>광주 동구 동명로25번길 6 1층</t>
        </is>
      </c>
      <c r="F24" s="19" t="n"/>
      <c r="G24" s="19" t="n"/>
      <c r="H24" s="20" t="inlineStr">
        <is>
          <t>11:30</t>
        </is>
      </c>
      <c r="I24" s="20" t="inlineStr">
        <is>
          <t>21:00</t>
        </is>
      </c>
      <c r="J24" s="17" t="n"/>
      <c r="K24" s="17" t="n">
        <v>60</v>
      </c>
      <c r="L24" s="21" t="n">
        <v>9000</v>
      </c>
      <c r="M24" s="18" t="inlineStr">
        <is>
          <t>오리지널 오믈렛 10,500 / 새우 로제 파스타 15,000 / 가츠 산도 7,000</t>
        </is>
      </c>
      <c r="N24" s="17" t="inlineStr">
        <is>
          <t>일식(오믈렛,파스타)</t>
        </is>
      </c>
      <c r="O24" s="17" t="n"/>
      <c r="P24" s="17" t="inlineStr">
        <is>
          <t>식사</t>
        </is>
      </c>
      <c r="Q24" s="17" t="inlineStr">
        <is>
          <t>현대적</t>
        </is>
      </c>
      <c r="R24" s="17" t="inlineStr">
        <is>
          <t>실내</t>
        </is>
      </c>
      <c r="S24" s="17" t="inlineStr">
        <is>
          <t>오전, 오후, 저녁</t>
        </is>
      </c>
      <c r="T24" s="17" t="n"/>
      <c r="U24" s="17" t="n"/>
      <c r="V24" s="18" t="n"/>
      <c r="W24" s="17" t="inlineStr">
        <is>
          <t>Claude(웹 수집)</t>
        </is>
      </c>
      <c r="X24" s="22" t="inlineStr">
        <is>
          <t>2026-10-21</t>
        </is>
      </c>
      <c r="Y24" s="18" t="inlineStr">
        <is>
          <t>https://forourtour.com/%EB%8F%99%EB%AA%85%EB%8F%99-%EB%A7%9B%EC%A7%91/</t>
        </is>
      </c>
      <c r="Z24" s="18" t="inlineStr">
        <is>
          <t>초안(웹 수집). 현장 미확인 / 추정 칸: 머무는 시간·1인 지출·태그·지역 / 브레이크타임 15:10-17:00 / 라스트오더 14:30,20:00</t>
        </is>
      </c>
    </row>
    <row r="25">
      <c r="A25" s="16" t="inlineStr">
        <is>
          <t>store_023</t>
        </is>
      </c>
      <c r="B25" s="17" t="inlineStr">
        <is>
          <t>틸트틸트</t>
        </is>
      </c>
      <c r="C25" s="17" t="inlineStr">
        <is>
          <t>식당</t>
        </is>
      </c>
      <c r="D25" s="17" t="inlineStr">
        <is>
          <t>동구 동명동</t>
        </is>
      </c>
      <c r="E25" s="18" t="inlineStr">
        <is>
          <t>광주 동구 동계로15번길 22 1층</t>
        </is>
      </c>
      <c r="F25" s="19" t="n"/>
      <c r="G25" s="19" t="n"/>
      <c r="H25" s="20" t="inlineStr">
        <is>
          <t>11:30</t>
        </is>
      </c>
      <c r="I25" s="20" t="inlineStr">
        <is>
          <t>21:00</t>
        </is>
      </c>
      <c r="J25" s="17" t="n"/>
      <c r="K25" s="17" t="n">
        <v>60</v>
      </c>
      <c r="L25" s="21" t="n">
        <v>19500</v>
      </c>
      <c r="M25" s="18" t="inlineStr">
        <is>
          <t>우니&amp;단새우 파스타 22,000 / 땡초 크림 트러플 리가토니 17,000</t>
        </is>
      </c>
      <c r="N25" s="17" t="inlineStr">
        <is>
          <t>양식 브런치</t>
        </is>
      </c>
      <c r="O25" s="17" t="n"/>
      <c r="P25" s="17" t="inlineStr">
        <is>
          <t>식사</t>
        </is>
      </c>
      <c r="Q25" s="17" t="inlineStr">
        <is>
          <t>현대적</t>
        </is>
      </c>
      <c r="R25" s="17" t="inlineStr">
        <is>
          <t>실내</t>
        </is>
      </c>
      <c r="S25" s="17" t="inlineStr">
        <is>
          <t>오전, 오후, 저녁</t>
        </is>
      </c>
      <c r="T25" s="17" t="n"/>
      <c r="U25" s="17" t="n"/>
      <c r="V25" s="18" t="n"/>
      <c r="W25" s="17" t="inlineStr">
        <is>
          <t>Claude(웹 수집)</t>
        </is>
      </c>
      <c r="X25" s="22" t="inlineStr">
        <is>
          <t>2026-10-21</t>
        </is>
      </c>
      <c r="Y25" s="18" t="inlineStr">
        <is>
          <t>https://forourtour.com/%EB%8F%99%EB%AA%85%EB%8F%99-%EB%A7%9B%EC%A7%91/</t>
        </is>
      </c>
      <c r="Z25" s="18" t="inlineStr">
        <is>
          <t>초안(웹 수집). 현장 미확인 / 추정 칸: 머무는 시간·1인 지출·태그·지역 / 브레이크타임 16:00-17:00 / 라스트오더 20:30</t>
        </is>
      </c>
    </row>
    <row r="26">
      <c r="A26" s="16" t="inlineStr">
        <is>
          <t>store_024</t>
        </is>
      </c>
      <c r="B26" s="17" t="inlineStr">
        <is>
          <t>정희</t>
        </is>
      </c>
      <c r="C26" s="17" t="inlineStr">
        <is>
          <t>식당</t>
        </is>
      </c>
      <c r="D26" s="17" t="inlineStr">
        <is>
          <t>동구 동명동</t>
        </is>
      </c>
      <c r="E26" s="18" t="inlineStr">
        <is>
          <t>광주 동구 동명로20번길 20 1층</t>
        </is>
      </c>
      <c r="F26" s="19" t="n"/>
      <c r="G26" s="19" t="n"/>
      <c r="H26" s="20" t="inlineStr">
        <is>
          <t>11:30</t>
        </is>
      </c>
      <c r="I26" s="20" t="inlineStr">
        <is>
          <t>21:00</t>
        </is>
      </c>
      <c r="J26" s="17" t="n"/>
      <c r="K26" s="17" t="n">
        <v>60</v>
      </c>
      <c r="L26" s="21" t="n">
        <v>12000</v>
      </c>
      <c r="M26" s="18" t="inlineStr">
        <is>
          <t>고사리 크림 수제비 12,900 / 한우 지짐밥 13,900 / 강된장케일쌈밥 10,900</t>
        </is>
      </c>
      <c r="N26" s="17" t="inlineStr">
        <is>
          <t>퓨전 한식</t>
        </is>
      </c>
      <c r="O26" s="17" t="n"/>
      <c r="P26" s="17" t="inlineStr">
        <is>
          <t>식사</t>
        </is>
      </c>
      <c r="Q26" s="17" t="inlineStr">
        <is>
          <t>현대적</t>
        </is>
      </c>
      <c r="R26" s="17" t="inlineStr">
        <is>
          <t>실내</t>
        </is>
      </c>
      <c r="S26" s="17" t="inlineStr">
        <is>
          <t>오전, 오후, 저녁</t>
        </is>
      </c>
      <c r="T26" s="17" t="n"/>
      <c r="U26" s="17" t="n"/>
      <c r="V26" s="18" t="n"/>
      <c r="W26" s="17" t="inlineStr">
        <is>
          <t>Claude(웹 수집)</t>
        </is>
      </c>
      <c r="X26" s="22" t="inlineStr">
        <is>
          <t>2026-10-21</t>
        </is>
      </c>
      <c r="Y26" s="18" t="inlineStr">
        <is>
          <t>https://forourtour.com/%EB%8F%99%EB%AA%85%EB%8F%99-%EB%A7%9B%EC%A7%91/</t>
        </is>
      </c>
      <c r="Z26" s="18" t="inlineStr">
        <is>
          <t>초안(웹 수집). 현장 미확인 / 추정 칸: 머무는 시간·1인 지출·태그·지역 / 브레이크타임 15:00-17:00 / 라스트오더 20:30</t>
        </is>
      </c>
    </row>
    <row r="27">
      <c r="A27" s="16" t="inlineStr">
        <is>
          <t>store_025</t>
        </is>
      </c>
      <c r="B27" s="17" t="inlineStr">
        <is>
          <t>한식경</t>
        </is>
      </c>
      <c r="C27" s="17" t="inlineStr">
        <is>
          <t>식당</t>
        </is>
      </c>
      <c r="D27" s="17" t="inlineStr">
        <is>
          <t>동구 동명동</t>
        </is>
      </c>
      <c r="E27" s="18" t="inlineStr">
        <is>
          <t>광주 동구 동명로25번길 6-1</t>
        </is>
      </c>
      <c r="F27" s="19" t="n"/>
      <c r="G27" s="19" t="n"/>
      <c r="H27" s="20" t="inlineStr">
        <is>
          <t>11:30</t>
        </is>
      </c>
      <c r="I27" s="20" t="inlineStr">
        <is>
          <t>21:00</t>
        </is>
      </c>
      <c r="J27" s="17" t="n"/>
      <c r="K27" s="17" t="n">
        <v>60</v>
      </c>
      <c r="L27" s="21" t="n">
        <v>16000</v>
      </c>
      <c r="M27" s="18" t="inlineStr">
        <is>
          <t>아롱사태 크림리조또 17,000 / 곰탕 크림 파스타 15,000</t>
        </is>
      </c>
      <c r="N27" s="17" t="inlineStr">
        <is>
          <t>퓨전 양식</t>
        </is>
      </c>
      <c r="O27" s="17" t="n"/>
      <c r="P27" s="17" t="inlineStr">
        <is>
          <t>식사</t>
        </is>
      </c>
      <c r="Q27" s="17" t="inlineStr">
        <is>
          <t>감성적</t>
        </is>
      </c>
      <c r="R27" s="17" t="inlineStr">
        <is>
          <t>실내</t>
        </is>
      </c>
      <c r="S27" s="17" t="inlineStr">
        <is>
          <t>오전, 오후, 저녁</t>
        </is>
      </c>
      <c r="T27" s="17" t="n"/>
      <c r="U27" s="17" t="n"/>
      <c r="V27" s="18" t="inlineStr">
        <is>
          <t>한옥 레스토랑 분위기</t>
        </is>
      </c>
      <c r="W27" s="17" t="inlineStr">
        <is>
          <t>Claude(웹 수집)</t>
        </is>
      </c>
      <c r="X27" s="22" t="inlineStr">
        <is>
          <t>2026-10-21</t>
        </is>
      </c>
      <c r="Y27" s="18" t="inlineStr">
        <is>
          <t>https://forourtour.com/%EB%8F%99%EB%AA%85%EB%8F%99-%EB%A7%9B%EC%A7%91/</t>
        </is>
      </c>
      <c r="Z27" s="18" t="inlineStr">
        <is>
          <t>초안(웹 수집). 현장 미확인 / 추정 칸: 머무는 시간·1인 지출·태그·지역 / 브레이크타임 15:30-17:00 / 라스트오더 20:15</t>
        </is>
      </c>
    </row>
    <row r="28">
      <c r="A28" s="16" t="inlineStr">
        <is>
          <t>store_026</t>
        </is>
      </c>
      <c r="B28" s="17" t="inlineStr">
        <is>
          <t>소바 쿄다이</t>
        </is>
      </c>
      <c r="C28" s="17" t="inlineStr">
        <is>
          <t>식당</t>
        </is>
      </c>
      <c r="D28" s="17" t="inlineStr">
        <is>
          <t>동구 동명동</t>
        </is>
      </c>
      <c r="E28" s="18" t="inlineStr">
        <is>
          <t>광주 동구 동계천로 135-3</t>
        </is>
      </c>
      <c r="F28" s="19" t="n"/>
      <c r="G28" s="19" t="n"/>
      <c r="H28" s="20" t="inlineStr">
        <is>
          <t>11:30</t>
        </is>
      </c>
      <c r="I28" s="20" t="inlineStr">
        <is>
          <t>21:00</t>
        </is>
      </c>
      <c r="J28" s="17" t="n"/>
      <c r="K28" s="17" t="n">
        <v>60</v>
      </c>
      <c r="L28" s="21" t="n">
        <v>11000</v>
      </c>
      <c r="M28" s="18" t="inlineStr">
        <is>
          <t>쿄다이 마제소바 10,500 / 키마 카레소바 11,000 / 훈제고등어 냉소바 12,000</t>
        </is>
      </c>
      <c r="N28" s="17" t="inlineStr">
        <is>
          <t>마제소바</t>
        </is>
      </c>
      <c r="O28" s="17" t="n"/>
      <c r="P28" s="17" t="inlineStr">
        <is>
          <t>식사</t>
        </is>
      </c>
      <c r="Q28" s="17" t="inlineStr">
        <is>
          <t>현대적</t>
        </is>
      </c>
      <c r="R28" s="17" t="inlineStr">
        <is>
          <t>실내</t>
        </is>
      </c>
      <c r="S28" s="17" t="inlineStr">
        <is>
          <t>오전, 오후, 저녁</t>
        </is>
      </c>
      <c r="T28" s="17" t="n"/>
      <c r="U28" s="17" t="n"/>
      <c r="V28" s="18" t="n"/>
      <c r="W28" s="17" t="inlineStr">
        <is>
          <t>Claude(웹 수집)</t>
        </is>
      </c>
      <c r="X28" s="22" t="inlineStr">
        <is>
          <t>2026-10-21</t>
        </is>
      </c>
      <c r="Y28" s="18" t="inlineStr">
        <is>
          <t>https://forourtour.com/%EB%8F%99%EB%AA%85%EB%8F%99-%EB%A7%9B%EC%A7%91/</t>
        </is>
      </c>
      <c r="Z28" s="18" t="inlineStr">
        <is>
          <t>초안(웹 수집). 현장 미확인 / 추정 칸: 머무는 시간·1인 지출·태그·지역 / 라스트오더 20:45</t>
        </is>
      </c>
    </row>
    <row r="29">
      <c r="A29" s="16" t="inlineStr">
        <is>
          <t>store_027</t>
        </is>
      </c>
      <c r="B29" s="17" t="inlineStr">
        <is>
          <t>퀴비</t>
        </is>
      </c>
      <c r="C29" s="17" t="inlineStr">
        <is>
          <t>식당</t>
        </is>
      </c>
      <c r="D29" s="17" t="inlineStr">
        <is>
          <t>동구 동명동</t>
        </is>
      </c>
      <c r="E29" s="18" t="inlineStr">
        <is>
          <t>광주 동구 동명로20번길 1</t>
        </is>
      </c>
      <c r="F29" s="19" t="n"/>
      <c r="G29" s="19" t="n"/>
      <c r="H29" s="20" t="inlineStr">
        <is>
          <t>12:00</t>
        </is>
      </c>
      <c r="I29" s="20" t="inlineStr">
        <is>
          <t>21:00</t>
        </is>
      </c>
      <c r="J29" s="17" t="n"/>
      <c r="K29" s="17" t="n">
        <v>60</v>
      </c>
      <c r="L29" s="21" t="n">
        <v>17500</v>
      </c>
      <c r="M29" s="18" t="inlineStr">
        <is>
          <t>바질 오일 파스타 18,000 / 로제 파스타 17,000 / 뇨끼 18,000</t>
        </is>
      </c>
      <c r="N29" s="17" t="inlineStr">
        <is>
          <t>이탈리안</t>
        </is>
      </c>
      <c r="O29" s="17" t="n"/>
      <c r="P29" s="17" t="inlineStr">
        <is>
          <t>식사</t>
        </is>
      </c>
      <c r="Q29" s="17" t="inlineStr">
        <is>
          <t>현대적</t>
        </is>
      </c>
      <c r="R29" s="17" t="inlineStr">
        <is>
          <t>실내</t>
        </is>
      </c>
      <c r="S29" s="17" t="inlineStr">
        <is>
          <t>오후, 저녁</t>
        </is>
      </c>
      <c r="T29" s="17" t="n"/>
      <c r="U29" s="17" t="n"/>
      <c r="V29" s="18" t="inlineStr">
        <is>
          <t>화덕 피자</t>
        </is>
      </c>
      <c r="W29" s="17" t="inlineStr">
        <is>
          <t>Claude(웹 수집)</t>
        </is>
      </c>
      <c r="X29" s="22" t="inlineStr">
        <is>
          <t>2026-10-21</t>
        </is>
      </c>
      <c r="Y29" s="18" t="inlineStr">
        <is>
          <t>https://forourtour.com/%EB%8F%99%EB%AA%85%EB%8F%99-%EB%A7%9B%EC%A7%91/</t>
        </is>
      </c>
      <c r="Z29" s="18" t="inlineStr">
        <is>
          <t>초안(웹 수집). 현장 미확인 / 추정 칸: 머무는 시간·1인 지출·태그·지역 / 브레이크타임 15:00-17:00 / 라스트오더 14:00,20:00</t>
        </is>
      </c>
    </row>
    <row r="30">
      <c r="A30" s="16" t="inlineStr">
        <is>
          <t>store_028</t>
        </is>
      </c>
      <c r="B30" s="17" t="inlineStr">
        <is>
          <t>게더링</t>
        </is>
      </c>
      <c r="C30" s="17" t="inlineStr">
        <is>
          <t>식당</t>
        </is>
      </c>
      <c r="D30" s="17" t="inlineStr">
        <is>
          <t>동구 동명동</t>
        </is>
      </c>
      <c r="E30" s="18" t="inlineStr">
        <is>
          <t>광주 동구 동계천로 168</t>
        </is>
      </c>
      <c r="F30" s="19" t="n"/>
      <c r="G30" s="19" t="n"/>
      <c r="H30" s="20" t="inlineStr">
        <is>
          <t>11:00</t>
        </is>
      </c>
      <c r="I30" s="20" t="inlineStr">
        <is>
          <t>21:00</t>
        </is>
      </c>
      <c r="J30" s="17" t="inlineStr">
        <is>
          <t>월</t>
        </is>
      </c>
      <c r="K30" s="17" t="n">
        <v>60</v>
      </c>
      <c r="L30" s="21" t="n">
        <v>14500</v>
      </c>
      <c r="M30" s="18" t="inlineStr">
        <is>
          <t>씨푸드 찰리 17,000 / 스테이크 묵은지 오일 파스타 19,000 / 크로아상 에그 베네딕트 12,000</t>
        </is>
      </c>
      <c r="N30" s="17" t="inlineStr">
        <is>
          <t>브런치,파스타,피자</t>
        </is>
      </c>
      <c r="O30" s="17" t="n"/>
      <c r="P30" s="17" t="inlineStr">
        <is>
          <t>식사</t>
        </is>
      </c>
      <c r="Q30" s="17" t="inlineStr">
        <is>
          <t>감성적</t>
        </is>
      </c>
      <c r="R30" s="17" t="inlineStr">
        <is>
          <t>실내외</t>
        </is>
      </c>
      <c r="S30" s="17" t="inlineStr">
        <is>
          <t>오전, 오후, 저녁</t>
        </is>
      </c>
      <c r="T30" s="17" t="n"/>
      <c r="U30" s="17" t="n"/>
      <c r="V30" s="18" t="inlineStr">
        <is>
          <t>40년 이상 된 주택 개조, 정원</t>
        </is>
      </c>
      <c r="W30" s="17" t="inlineStr">
        <is>
          <t>Claude(웹 수집)</t>
        </is>
      </c>
      <c r="X30" s="22" t="inlineStr">
        <is>
          <t>2026-10-21</t>
        </is>
      </c>
      <c r="Y30" s="18" t="inlineStr">
        <is>
          <t>https://forourtour.com/%EB%8F%99%EB%AA%85%EB%8F%99-%EB%A7%9B%EC%A7%91/</t>
        </is>
      </c>
      <c r="Z30" s="18" t="inlineStr">
        <is>
          <t>초안(웹 수집). 현장 미확인 / 추정 칸: 머무는 시간·1인 지출·태그·지역 / 브레이크타임 15:00-17:00</t>
        </is>
      </c>
    </row>
    <row r="31">
      <c r="A31" s="16" t="inlineStr">
        <is>
          <t>store_029</t>
        </is>
      </c>
      <c r="B31" s="17" t="inlineStr">
        <is>
          <t>분식집</t>
        </is>
      </c>
      <c r="C31" s="17" t="inlineStr">
        <is>
          <t>식당</t>
        </is>
      </c>
      <c r="D31" s="17" t="inlineStr">
        <is>
          <t>동구 동명동</t>
        </is>
      </c>
      <c r="E31" s="18" t="inlineStr">
        <is>
          <t>광주 동구 동계천로 143-5 1층</t>
        </is>
      </c>
      <c r="F31" s="19" t="n"/>
      <c r="G31" s="19" t="n"/>
      <c r="H31" s="20" t="inlineStr">
        <is>
          <t>11:30</t>
        </is>
      </c>
      <c r="I31" s="20" t="inlineStr">
        <is>
          <t>20:30</t>
        </is>
      </c>
      <c r="J31" s="17" t="n"/>
      <c r="K31" s="17" t="n">
        <v>40</v>
      </c>
      <c r="L31" s="21" t="n">
        <v>7500</v>
      </c>
      <c r="M31" s="18" t="inlineStr">
        <is>
          <t>파튀김 떡볶이 6,500 / 상추튀김 8,500 / 마늘 탕수육 9,700</t>
        </is>
      </c>
      <c r="N31" s="17" t="inlineStr">
        <is>
          <t>분식</t>
        </is>
      </c>
      <c r="O31" s="17" t="n"/>
      <c r="P31" s="17" t="inlineStr">
        <is>
          <t>식사</t>
        </is>
      </c>
      <c r="Q31" s="17" t="inlineStr">
        <is>
          <t>서민적</t>
        </is>
      </c>
      <c r="R31" s="17" t="inlineStr">
        <is>
          <t>실내</t>
        </is>
      </c>
      <c r="S31" s="17" t="inlineStr">
        <is>
          <t>오전, 오후, 저녁</t>
        </is>
      </c>
      <c r="T31" s="17" t="n"/>
      <c r="U31" s="17" t="n"/>
      <c r="V31" s="18" t="inlineStr">
        <is>
          <t>시즌별 신메뉴</t>
        </is>
      </c>
      <c r="W31" s="17" t="inlineStr">
        <is>
          <t>Claude(웹 수집)</t>
        </is>
      </c>
      <c r="X31" s="22" t="inlineStr">
        <is>
          <t>2026-10-21</t>
        </is>
      </c>
      <c r="Y31" s="18" t="inlineStr">
        <is>
          <t>https://forourtour.com/%EB%8F%99%EB%AA%85%EB%8F%99-%EB%A7%9B%EC%A7%91/</t>
        </is>
      </c>
      <c r="Z31" s="18" t="inlineStr">
        <is>
          <t>초안(웹 수집). 현장 미확인 / 추정 칸: 머무는 시간·1인 지출·태그·지역 / 브레이크타임 15:00-17:00 / 라스트오더 14:30</t>
        </is>
      </c>
    </row>
    <row r="32">
      <c r="A32" s="16" t="inlineStr">
        <is>
          <t>store_030</t>
        </is>
      </c>
      <c r="B32" s="17" t="inlineStr">
        <is>
          <t>채미원</t>
        </is>
      </c>
      <c r="C32" s="17" t="inlineStr">
        <is>
          <t>식당</t>
        </is>
      </c>
      <c r="D32" s="17" t="inlineStr">
        <is>
          <t>동구 동명동</t>
        </is>
      </c>
      <c r="E32" s="18" t="inlineStr">
        <is>
          <t>광주 동구 동계천로 167-7 1층</t>
        </is>
      </c>
      <c r="F32" s="19" t="n"/>
      <c r="G32" s="19" t="n"/>
      <c r="H32" s="20" t="inlineStr">
        <is>
          <t>11:30</t>
        </is>
      </c>
      <c r="I32" s="20" t="inlineStr">
        <is>
          <t>22:00</t>
        </is>
      </c>
      <c r="J32" s="17" t="inlineStr">
        <is>
          <t>일</t>
        </is>
      </c>
      <c r="K32" s="17" t="n">
        <v>60</v>
      </c>
      <c r="L32" s="21" t="n"/>
      <c r="M32" s="18" t="inlineStr">
        <is>
          <t>주물럭 쌈밥·병어갈치조림·굴비구이(가격 없음)</t>
        </is>
      </c>
      <c r="N32" s="17" t="inlineStr">
        <is>
          <t>한식 정식</t>
        </is>
      </c>
      <c r="O32" s="17" t="n"/>
      <c r="P32" s="17" t="inlineStr">
        <is>
          <t>식사</t>
        </is>
      </c>
      <c r="Q32" s="17" t="inlineStr">
        <is>
          <t>현대적</t>
        </is>
      </c>
      <c r="R32" s="17" t="inlineStr">
        <is>
          <t>실내</t>
        </is>
      </c>
      <c r="S32" s="17" t="inlineStr">
        <is>
          <t>오전, 오후, 저녁</t>
        </is>
      </c>
      <c r="T32" s="17" t="n"/>
      <c r="U32" s="17" t="n"/>
      <c r="V32" s="18" t="inlineStr">
        <is>
          <t>화학조미료 없이</t>
        </is>
      </c>
      <c r="W32" s="17" t="inlineStr">
        <is>
          <t>Claude(웹 수집)</t>
        </is>
      </c>
      <c r="X32" s="22" t="inlineStr">
        <is>
          <t>2026-10-21</t>
        </is>
      </c>
      <c r="Y32" s="18" t="inlineStr">
        <is>
          <t>https://v.daum.net/v/zCXt4I5rbs</t>
        </is>
      </c>
      <c r="Z32" s="18" t="inlineStr">
        <is>
          <t>초안(웹 수집). 현장 미확인 / 추정 칸: 머무는 시간·1인 지출·태그·지역 / 브레이크타임 14:30-17:00 / 지출 추정 불가(메뉴 가격 없음) - 직접 입력</t>
        </is>
      </c>
    </row>
    <row r="33">
      <c r="A33" s="16" t="inlineStr">
        <is>
          <t>store_031</t>
        </is>
      </c>
      <c r="B33" s="17" t="inlineStr">
        <is>
          <t>장독대</t>
        </is>
      </c>
      <c r="C33" s="17" t="inlineStr">
        <is>
          <t>식당</t>
        </is>
      </c>
      <c r="D33" s="17" t="inlineStr">
        <is>
          <t>동구 광산동</t>
        </is>
      </c>
      <c r="E33" s="18" t="inlineStr">
        <is>
          <t>광주 동구 문화전당로 43 3층</t>
        </is>
      </c>
      <c r="F33" s="19" t="n"/>
      <c r="G33" s="19" t="n"/>
      <c r="H33" s="20" t="inlineStr">
        <is>
          <t>11:00</t>
        </is>
      </c>
      <c r="I33" s="20" t="inlineStr">
        <is>
          <t>21:00</t>
        </is>
      </c>
      <c r="J33" s="17" t="n"/>
      <c r="K33" s="17" t="n">
        <v>80</v>
      </c>
      <c r="L33" s="21" t="n"/>
      <c r="M33" s="18" t="inlineStr">
        <is>
          <t>쌈밥 정식 등(가격 없음)</t>
        </is>
      </c>
      <c r="N33" s="17" t="inlineStr">
        <is>
          <t>남도쌈밥 한식</t>
        </is>
      </c>
      <c r="O33" s="17" t="n"/>
      <c r="P33" s="17" t="inlineStr">
        <is>
          <t>식사</t>
        </is>
      </c>
      <c r="Q33" s="17" t="inlineStr">
        <is>
          <t>현대적</t>
        </is>
      </c>
      <c r="R33" s="17" t="inlineStr">
        <is>
          <t>실내</t>
        </is>
      </c>
      <c r="S33" s="17" t="inlineStr">
        <is>
          <t>오전, 오후, 저녁</t>
        </is>
      </c>
      <c r="T33" s="17" t="n"/>
      <c r="U33" s="17" t="n"/>
      <c r="V33" s="18" t="inlineStr">
        <is>
          <t>반찬 셀프바</t>
        </is>
      </c>
      <c r="W33" s="17" t="inlineStr">
        <is>
          <t>Claude(웹 수집)</t>
        </is>
      </c>
      <c r="X33" s="22" t="inlineStr">
        <is>
          <t>2026-10-21</t>
        </is>
      </c>
      <c r="Y33" s="18" t="inlineStr">
        <is>
          <t>https://v.daum.net/v/zCXt4I5rbs</t>
        </is>
      </c>
      <c r="Z33" s="18" t="inlineStr">
        <is>
          <t>초안(웹 수집). 현장 미확인 / 추정 칸: 머무는 시간·1인 지출·태그·지역 / 지출 추정 불가(메뉴 가격 없음) - 직접 입력</t>
        </is>
      </c>
    </row>
    <row r="34">
      <c r="A34" s="16" t="inlineStr">
        <is>
          <t>store_032</t>
        </is>
      </c>
      <c r="B34" s="17" t="inlineStr">
        <is>
          <t>가족회관</t>
        </is>
      </c>
      <c r="C34" s="17" t="inlineStr">
        <is>
          <t>식당</t>
        </is>
      </c>
      <c r="D34" s="17" t="inlineStr">
        <is>
          <t>동구 동명동</t>
        </is>
      </c>
      <c r="E34" s="18" t="inlineStr">
        <is>
          <t>광주 동구 동명로 50</t>
        </is>
      </c>
      <c r="F34" s="19" t="n"/>
      <c r="G34" s="19" t="n"/>
      <c r="H34" s="20" t="n"/>
      <c r="I34" s="20" t="n"/>
      <c r="J34" s="17" t="n"/>
      <c r="K34" s="17" t="n">
        <v>80</v>
      </c>
      <c r="L34" s="21" t="n"/>
      <c r="M34" s="18" t="inlineStr">
        <is>
          <t>한정식(가격 없음)</t>
        </is>
      </c>
      <c r="N34" s="17" t="inlineStr">
        <is>
          <t>한정식</t>
        </is>
      </c>
      <c r="O34" s="17" t="n"/>
      <c r="P34" s="17" t="inlineStr">
        <is>
          <t>식사</t>
        </is>
      </c>
      <c r="Q34" s="17" t="inlineStr">
        <is>
          <t>현대적</t>
        </is>
      </c>
      <c r="R34" s="17" t="inlineStr">
        <is>
          <t>실내</t>
        </is>
      </c>
      <c r="S34" s="17" t="n"/>
      <c r="T34" s="17" t="n"/>
      <c r="U34" s="17" t="n"/>
      <c r="V34" s="18" t="inlineStr">
        <is>
          <t>개업 36년 전통 문구. 룸·단체석</t>
        </is>
      </c>
      <c r="W34" s="17" t="inlineStr">
        <is>
          <t>Claude(웹 수집)</t>
        </is>
      </c>
      <c r="X34" s="22" t="inlineStr">
        <is>
          <t>2026-10-21</t>
        </is>
      </c>
      <c r="Y34" s="18" t="inlineStr">
        <is>
          <t>https://v.daum.net/v/zCXt4I5rbs</t>
        </is>
      </c>
      <c r="Z34" s="18" t="inlineStr">
        <is>
          <t>초안(웹 수집). 현장 미확인 / 추정 칸: 머무는 시간·1인 지출·태그·지역 / 영업시간 참고: 페이지 표기가 불명확('12~12시', 오타로 보임). 12시 시작 / 브레이크타임 15:00-18:00 / 지출 추정 불가(메뉴 가격 없음) - 직접 입력</t>
        </is>
      </c>
    </row>
    <row r="35">
      <c r="A35" s="16" t="inlineStr">
        <is>
          <t>store_033</t>
        </is>
      </c>
      <c r="B35" s="17" t="inlineStr">
        <is>
          <t>커볶(커피볶는집)</t>
        </is>
      </c>
      <c r="C35" s="17" t="inlineStr">
        <is>
          <t>카페·디저트</t>
        </is>
      </c>
      <c r="D35" s="17" t="inlineStr">
        <is>
          <t>동구 산수동</t>
        </is>
      </c>
      <c r="E35" s="18" t="inlineStr">
        <is>
          <t>광주 동구 지호로 161-7</t>
        </is>
      </c>
      <c r="F35" s="19" t="n"/>
      <c r="G35" s="19" t="n"/>
      <c r="H35" s="20" t="inlineStr">
        <is>
          <t>11:00</t>
        </is>
      </c>
      <c r="I35" s="20" t="inlineStr">
        <is>
          <t>22:00</t>
        </is>
      </c>
      <c r="J35" s="17" t="n"/>
      <c r="K35" s="17" t="n">
        <v>60</v>
      </c>
      <c r="L35" s="21" t="n"/>
      <c r="M35" s="18" t="inlineStr">
        <is>
          <t>무등산 구름 커피 등(가격 없음)</t>
        </is>
      </c>
      <c r="N35" s="17" t="inlineStr">
        <is>
          <t>카페</t>
        </is>
      </c>
      <c r="O35" s="17" t="n"/>
      <c r="P35" s="17" t="inlineStr">
        <is>
          <t>카페·디저트</t>
        </is>
      </c>
      <c r="Q35" s="17" t="inlineStr">
        <is>
          <t>현대적</t>
        </is>
      </c>
      <c r="R35" s="17" t="inlineStr">
        <is>
          <t>실내</t>
        </is>
      </c>
      <c r="S35" s="17" t="inlineStr">
        <is>
          <t>오전, 오후, 저녁</t>
        </is>
      </c>
      <c r="T35" s="17" t="n"/>
      <c r="U35" s="17" t="n"/>
      <c r="V35" s="18" t="inlineStr">
        <is>
          <t>개업 2006. 주말 A-ZONE 3인 이상·사전예약</t>
        </is>
      </c>
      <c r="W35" s="17" t="inlineStr">
        <is>
          <t>Claude(웹 수집)</t>
        </is>
      </c>
      <c r="X35" s="22" t="inlineStr">
        <is>
          <t>2026-10-21</t>
        </is>
      </c>
      <c r="Y35" s="18" t="inlineStr">
        <is>
          <t>https://v.daum.net/v/zCXt4I5rbs</t>
        </is>
      </c>
      <c r="Z35" s="18" t="inlineStr">
        <is>
          <t>초안(웹 수집). 현장 미확인 / 추정 칸: 머무는 시간·1인 지출·태그·지역 / 지출 추정 불가(메뉴 가격 없음) - 직접 입력</t>
        </is>
      </c>
    </row>
    <row r="36">
      <c r="A36" s="16" t="inlineStr">
        <is>
          <t>store_034</t>
        </is>
      </c>
      <c r="B36" s="17" t="inlineStr">
        <is>
          <t>육층집</t>
        </is>
      </c>
      <c r="C36" s="17" t="inlineStr">
        <is>
          <t>식당</t>
        </is>
      </c>
      <c r="D36" s="17" t="inlineStr">
        <is>
          <t>동구 광산동</t>
        </is>
      </c>
      <c r="E36" s="18" t="inlineStr">
        <is>
          <t>광주광역시 동구 문화전당로35번길 16-4 오렌지타운 6층</t>
        </is>
      </c>
      <c r="F36" s="19" t="n"/>
      <c r="G36" s="19" t="n"/>
      <c r="H36" s="20" t="inlineStr">
        <is>
          <t>17:00</t>
        </is>
      </c>
      <c r="I36" s="20" t="inlineStr">
        <is>
          <t>24:30</t>
        </is>
      </c>
      <c r="J36" s="17" t="n"/>
      <c r="K36" s="17" t="n">
        <v>80</v>
      </c>
      <c r="L36" s="21" t="n">
        <v>10500</v>
      </c>
      <c r="M36" s="18" t="inlineStr">
        <is>
          <t>숙성생삼겹살200g 17,000 / 숙성생목살200g 17,000 / 벌집껍데기 4,000</t>
        </is>
      </c>
      <c r="N36" s="17" t="inlineStr">
        <is>
          <t>삼겹살</t>
        </is>
      </c>
      <c r="O36" s="17" t="n"/>
      <c r="P36" s="17" t="inlineStr">
        <is>
          <t>식사</t>
        </is>
      </c>
      <c r="Q36" s="17" t="inlineStr">
        <is>
          <t>현대적</t>
        </is>
      </c>
      <c r="R36" s="17" t="inlineStr">
        <is>
          <t>실내</t>
        </is>
      </c>
      <c r="S36" s="17" t="inlineStr">
        <is>
          <t>오후, 저녁, 밤</t>
        </is>
      </c>
      <c r="T36" s="17" t="n"/>
      <c r="U36" s="17" t="n"/>
      <c r="V36" s="18" t="inlineStr">
        <is>
          <t>초벌되어 나옴</t>
        </is>
      </c>
      <c r="W36" s="17" t="inlineStr">
        <is>
          <t>Claude(웹 수집)</t>
        </is>
      </c>
      <c r="X36" s="22" t="inlineStr">
        <is>
          <t>2026-10-21</t>
        </is>
      </c>
      <c r="Y36" s="18" t="inlineStr">
        <is>
          <t>https://www.diningcode.com/profile.php?rid=PFkPFKCeK6C0</t>
        </is>
      </c>
      <c r="Z36" s="18" t="inlineStr">
        <is>
          <t>초안(웹 수집). 현장 미확인 / 추정 칸: 머무는 시간·1인 지출·태그·지역 / 영업시간 참고: 요일별로 다름 / 라스트오더 23:30-00:00</t>
        </is>
      </c>
    </row>
    <row r="37">
      <c r="A37" s="16" t="inlineStr">
        <is>
          <t>store_035</t>
        </is>
      </c>
      <c r="B37" s="17" t="inlineStr">
        <is>
          <t>구수숯불갈비</t>
        </is>
      </c>
      <c r="C37" s="17" t="inlineStr">
        <is>
          <t>식당</t>
        </is>
      </c>
      <c r="D37" s="17" t="inlineStr">
        <is>
          <t>동구 동명동</t>
        </is>
      </c>
      <c r="E37" s="18" t="inlineStr">
        <is>
          <t>광주광역시 동구 필문대로191번길 15-10</t>
        </is>
      </c>
      <c r="F37" s="19" t="n"/>
      <c r="G37" s="19" t="n"/>
      <c r="H37" s="20" t="inlineStr">
        <is>
          <t>11:00</t>
        </is>
      </c>
      <c r="I37" s="20" t="inlineStr">
        <is>
          <t>22:00</t>
        </is>
      </c>
      <c r="J37" s="17" t="n"/>
      <c r="K37" s="17" t="n">
        <v>80</v>
      </c>
      <c r="L37" s="21" t="n">
        <v>18000</v>
      </c>
      <c r="M37" s="18" t="inlineStr">
        <is>
          <t>생소갈비220g 49,000 / 돼지갈비230g 18,000 / 삼겹살150g 18,000</t>
        </is>
      </c>
      <c r="N37" s="17" t="inlineStr">
        <is>
          <t>돼지갈비</t>
        </is>
      </c>
      <c r="O37" s="17" t="n"/>
      <c r="P37" s="17" t="inlineStr">
        <is>
          <t>식사</t>
        </is>
      </c>
      <c r="Q37" s="17" t="inlineStr">
        <is>
          <t>현대적</t>
        </is>
      </c>
      <c r="R37" s="17" t="inlineStr">
        <is>
          <t>실내</t>
        </is>
      </c>
      <c r="S37" s="17" t="inlineStr">
        <is>
          <t>오전, 오후, 저녁</t>
        </is>
      </c>
      <c r="T37" s="17" t="n"/>
      <c r="U37" s="17" t="n"/>
      <c r="V37" s="18" t="inlineStr">
        <is>
          <t>무료주차,룸식</t>
        </is>
      </c>
      <c r="W37" s="17" t="inlineStr">
        <is>
          <t>Claude(웹 수집)</t>
        </is>
      </c>
      <c r="X37" s="22" t="inlineStr">
        <is>
          <t>2026-10-21</t>
        </is>
      </c>
      <c r="Y37" s="18" t="inlineStr">
        <is>
          <t>https://www.diningcode.com/profile.php?rid=fxpHPLxNfiSF</t>
        </is>
      </c>
      <c r="Z37" s="18" t="inlineStr">
        <is>
          <t>초안(웹 수집). 현장 미확인 / 추정 칸: 머무는 시간·1인 지출·태그·지역 / 브레이크타임 15:00-16:30 / 라스트오더 20:40 / 휴무 확인 필요(매달 1,3째 화요일)</t>
        </is>
      </c>
    </row>
    <row r="38">
      <c r="A38" s="16" t="inlineStr">
        <is>
          <t>store_036</t>
        </is>
      </c>
      <c r="B38" s="17" t="inlineStr">
        <is>
          <t>이씨네 푸줏간 본점</t>
        </is>
      </c>
      <c r="C38" s="17" t="inlineStr">
        <is>
          <t>식당</t>
        </is>
      </c>
      <c r="D38" s="17" t="inlineStr">
        <is>
          <t>동구 동명동</t>
        </is>
      </c>
      <c r="E38" s="18" t="inlineStr">
        <is>
          <t>광주광역시 동구 동명로 48</t>
        </is>
      </c>
      <c r="F38" s="19" t="n"/>
      <c r="G38" s="19" t="n"/>
      <c r="H38" s="20" t="inlineStr">
        <is>
          <t>16:30</t>
        </is>
      </c>
      <c r="I38" s="20" t="inlineStr">
        <is>
          <t>23:00</t>
        </is>
      </c>
      <c r="J38" s="17" t="n"/>
      <c r="K38" s="17" t="n">
        <v>80</v>
      </c>
      <c r="L38" s="21" t="n">
        <v>16500</v>
      </c>
      <c r="M38" s="18" t="inlineStr">
        <is>
          <t>한근세트 59,000 / 생갈비 18,000 / 통오겹살 15,000</t>
        </is>
      </c>
      <c r="N38" s="17" t="inlineStr">
        <is>
          <t>고깃집</t>
        </is>
      </c>
      <c r="O38" s="17" t="n"/>
      <c r="P38" s="17" t="inlineStr">
        <is>
          <t>식사</t>
        </is>
      </c>
      <c r="Q38" s="17" t="inlineStr">
        <is>
          <t>현대적</t>
        </is>
      </c>
      <c r="R38" s="17" t="inlineStr">
        <is>
          <t>실내</t>
        </is>
      </c>
      <c r="S38" s="17" t="inlineStr">
        <is>
          <t>오후, 저녁, 밤</t>
        </is>
      </c>
      <c r="T38" s="17" t="n"/>
      <c r="U38" s="17" t="n"/>
      <c r="V38" s="18" t="n"/>
      <c r="W38" s="17" t="inlineStr">
        <is>
          <t>Claude(웹 수집)</t>
        </is>
      </c>
      <c r="X38" s="22" t="inlineStr">
        <is>
          <t>2026-10-21</t>
        </is>
      </c>
      <c r="Y38" s="18" t="inlineStr">
        <is>
          <t>https://www.diningcode.com/profile.php?rid=YLyYPMFqKe5R</t>
        </is>
      </c>
      <c r="Z38" s="18" t="inlineStr">
        <is>
          <t>초안(웹 수집). 현장 미확인 / 추정 칸: 머무는 시간·1인 지출·태그·지역 / 라스트오더 22:00</t>
        </is>
      </c>
    </row>
    <row r="39">
      <c r="A39" s="16" t="inlineStr">
        <is>
          <t>store_037</t>
        </is>
      </c>
      <c r="B39" s="17" t="inlineStr">
        <is>
          <t>후동이 소금구이</t>
        </is>
      </c>
      <c r="C39" s="17" t="inlineStr">
        <is>
          <t>식당</t>
        </is>
      </c>
      <c r="D39" s="17" t="inlineStr">
        <is>
          <t>동구 동명동</t>
        </is>
      </c>
      <c r="E39" s="18" t="inlineStr">
        <is>
          <t>광주광역시 동구 동명로 15 1층</t>
        </is>
      </c>
      <c r="F39" s="19" t="n"/>
      <c r="G39" s="19" t="n"/>
      <c r="H39" s="20" t="inlineStr">
        <is>
          <t>17:00</t>
        </is>
      </c>
      <c r="I39" s="20" t="inlineStr">
        <is>
          <t>24:50</t>
        </is>
      </c>
      <c r="J39" s="17" t="n"/>
      <c r="K39" s="17" t="n">
        <v>80</v>
      </c>
      <c r="L39" s="21" t="n">
        <v>9500</v>
      </c>
      <c r="M39" s="18" t="inlineStr">
        <is>
          <t>소금구이180g 11,900 / 생삼겹살180g 12,900 / 김치찌개 7,000</t>
        </is>
      </c>
      <c r="N39" s="17" t="inlineStr">
        <is>
          <t>고깃집</t>
        </is>
      </c>
      <c r="O39" s="17" t="n"/>
      <c r="P39" s="17" t="inlineStr">
        <is>
          <t>식사</t>
        </is>
      </c>
      <c r="Q39" s="17" t="inlineStr">
        <is>
          <t>현대적</t>
        </is>
      </c>
      <c r="R39" s="17" t="inlineStr">
        <is>
          <t>실내</t>
        </is>
      </c>
      <c r="S39" s="17" t="inlineStr">
        <is>
          <t>오후, 저녁, 밤</t>
        </is>
      </c>
      <c r="T39" s="17" t="n"/>
      <c r="U39" s="17" t="n"/>
      <c r="V39" s="18" t="inlineStr">
        <is>
          <t>직원이 구워줌</t>
        </is>
      </c>
      <c r="W39" s="17" t="inlineStr">
        <is>
          <t>Claude(웹 수집)</t>
        </is>
      </c>
      <c r="X39" s="22" t="inlineStr">
        <is>
          <t>2026-10-21</t>
        </is>
      </c>
      <c r="Y39" s="18" t="inlineStr">
        <is>
          <t>https://www.diningcode.com/profile.php?rid=ICZnPzYLPBSI</t>
        </is>
      </c>
      <c r="Z39" s="18" t="inlineStr">
        <is>
          <t>초안(웹 수집). 현장 미확인 / 추정 칸: 머무는 시간·1인 지출·태그·지역 / 영업시간 참고: 금·토 02:50, 일 23:50까지 / 휴무 확인 필요(매달 1,3째 일요일(블로그))</t>
        </is>
      </c>
    </row>
    <row r="40">
      <c r="A40" s="16" t="inlineStr">
        <is>
          <t>store_038</t>
        </is>
      </c>
      <c r="B40" s="17" t="inlineStr">
        <is>
          <t>미분당 광주동명점</t>
        </is>
      </c>
      <c r="C40" s="17" t="inlineStr">
        <is>
          <t>식당</t>
        </is>
      </c>
      <c r="D40" s="17" t="inlineStr">
        <is>
          <t>동구 동명동</t>
        </is>
      </c>
      <c r="E40" s="18" t="inlineStr">
        <is>
          <t>광주광역시 동구 제봉로110번길 3 1층</t>
        </is>
      </c>
      <c r="F40" s="19" t="n"/>
      <c r="G40" s="19" t="n"/>
      <c r="H40" s="20" t="inlineStr">
        <is>
          <t>11:00</t>
        </is>
      </c>
      <c r="I40" s="20" t="inlineStr">
        <is>
          <t>21:00</t>
        </is>
      </c>
      <c r="J40" s="17" t="n"/>
      <c r="K40" s="17" t="n">
        <v>40</v>
      </c>
      <c r="L40" s="21" t="n">
        <v>11000</v>
      </c>
      <c r="M40" s="18" t="inlineStr">
        <is>
          <t>차돌박이 쌀국수 10,000 / 양지 쌀국수 11,500 / 차돌양지 쌀국수 12,500</t>
        </is>
      </c>
      <c r="N40" s="17" t="inlineStr">
        <is>
          <t>쌀국수</t>
        </is>
      </c>
      <c r="O40" s="17" t="n"/>
      <c r="P40" s="17" t="inlineStr">
        <is>
          <t>식사</t>
        </is>
      </c>
      <c r="Q40" s="17" t="inlineStr">
        <is>
          <t>현대적</t>
        </is>
      </c>
      <c r="R40" s="17" t="inlineStr">
        <is>
          <t>실내</t>
        </is>
      </c>
      <c r="S40" s="17" t="inlineStr">
        <is>
          <t>오전, 오후, 저녁</t>
        </is>
      </c>
      <c r="T40" s="17" t="n"/>
      <c r="U40" s="17" t="n"/>
      <c r="V40" s="18" t="inlineStr">
        <is>
          <t>혼밥,무료주차</t>
        </is>
      </c>
      <c r="W40" s="17" t="inlineStr">
        <is>
          <t>Claude(웹 수집)</t>
        </is>
      </c>
      <c r="X40" s="22" t="inlineStr">
        <is>
          <t>2026-10-21</t>
        </is>
      </c>
      <c r="Y40" s="18" t="inlineStr">
        <is>
          <t>https://www.diningcode.com/profile.php?rid=JuqmKm3Nl8or</t>
        </is>
      </c>
      <c r="Z40" s="18" t="inlineStr">
        <is>
          <t>초안(웹 수집). 현장 미확인 / 추정 칸: 머무는 시간·1인 지출·태그·지역 / 브레이크타임 15:00-17:00 / 라스트오더 14:30,20:30</t>
        </is>
      </c>
    </row>
    <row r="41">
      <c r="A41" s="16" t="inlineStr">
        <is>
          <t>store_039</t>
        </is>
      </c>
      <c r="B41" s="17" t="inlineStr">
        <is>
          <t>나나방콕 광주동명점</t>
        </is>
      </c>
      <c r="C41" s="17" t="inlineStr">
        <is>
          <t>식당</t>
        </is>
      </c>
      <c r="D41" s="17" t="inlineStr">
        <is>
          <t>동구 동명동</t>
        </is>
      </c>
      <c r="E41" s="18" t="inlineStr">
        <is>
          <t>광주광역시 동구 동계천로 161 1층</t>
        </is>
      </c>
      <c r="F41" s="19" t="n"/>
      <c r="G41" s="19" t="n"/>
      <c r="H41" s="20" t="inlineStr">
        <is>
          <t>11:00</t>
        </is>
      </c>
      <c r="I41" s="20" t="inlineStr">
        <is>
          <t>21:00</t>
        </is>
      </c>
      <c r="J41" s="17" t="n"/>
      <c r="K41" s="17" t="n">
        <v>40</v>
      </c>
      <c r="L41" s="21" t="n">
        <v>13000</v>
      </c>
      <c r="M41" s="18" t="inlineStr">
        <is>
          <t>아롱사태 쌀국수 13,900 / 우삼겹양지 쌀국수 12,500 / 쉬림프팟타이 15,900</t>
        </is>
      </c>
      <c r="N41" s="17" t="inlineStr">
        <is>
          <t>태국음식,쌀국수</t>
        </is>
      </c>
      <c r="O41" s="17" t="n"/>
      <c r="P41" s="17" t="inlineStr">
        <is>
          <t>식사</t>
        </is>
      </c>
      <c r="Q41" s="17" t="inlineStr">
        <is>
          <t>현대적</t>
        </is>
      </c>
      <c r="R41" s="17" t="inlineStr">
        <is>
          <t>실내</t>
        </is>
      </c>
      <c r="S41" s="17" t="inlineStr">
        <is>
          <t>오전, 오후, 저녁</t>
        </is>
      </c>
      <c r="T41" s="17" t="n"/>
      <c r="U41" s="17" t="n"/>
      <c r="V41" s="18" t="n"/>
      <c r="W41" s="17" t="inlineStr">
        <is>
          <t>Claude(웹 수집)</t>
        </is>
      </c>
      <c r="X41" s="22" t="inlineStr">
        <is>
          <t>2026-10-21</t>
        </is>
      </c>
      <c r="Y41" s="18" t="inlineStr">
        <is>
          <t>https://www.diningcode.com/profile.php?rid=B8NB1fndDq35</t>
        </is>
      </c>
      <c r="Z41" s="18" t="inlineStr">
        <is>
          <t>초안(웹 수집). 현장 미확인 / 추정 칸: 머무는 시간·1인 지출·태그·지역 / 라스트오더 20:30</t>
        </is>
      </c>
    </row>
    <row r="42">
      <c r="A42" s="16" t="inlineStr">
        <is>
          <t>store_040</t>
        </is>
      </c>
      <c r="B42" s="17" t="inlineStr">
        <is>
          <t>유키</t>
        </is>
      </c>
      <c r="C42" s="17" t="inlineStr">
        <is>
          <t>야간 콘텐츠</t>
        </is>
      </c>
      <c r="D42" s="17" t="inlineStr">
        <is>
          <t>동구 동명동</t>
        </is>
      </c>
      <c r="E42" s="18" t="inlineStr">
        <is>
          <t>광주광역시 동구 장동로 27 1층</t>
        </is>
      </c>
      <c r="F42" s="19" t="n"/>
      <c r="G42" s="19" t="n"/>
      <c r="H42" s="20" t="inlineStr">
        <is>
          <t>18:00</t>
        </is>
      </c>
      <c r="I42" s="20" t="inlineStr">
        <is>
          <t>27:00</t>
        </is>
      </c>
      <c r="J42" s="17" t="n"/>
      <c r="K42" s="17" t="n">
        <v>90</v>
      </c>
      <c r="L42" s="21" t="n">
        <v>25000</v>
      </c>
      <c r="M42" s="18" t="inlineStr">
        <is>
          <t>소고기 버섯 스끼야끼 21,900 / 육회 칼빔면 27,900</t>
        </is>
      </c>
      <c r="N42" s="17" t="inlineStr">
        <is>
          <t>이자카야</t>
        </is>
      </c>
      <c r="O42" s="17" t="n"/>
      <c r="P42" s="17" t="inlineStr">
        <is>
          <t>술, 식사</t>
        </is>
      </c>
      <c r="Q42" s="17" t="inlineStr">
        <is>
          <t>활기찬</t>
        </is>
      </c>
      <c r="R42" s="17" t="inlineStr">
        <is>
          <t>실내외</t>
        </is>
      </c>
      <c r="S42" s="17" t="inlineStr">
        <is>
          <t>저녁, 밤</t>
        </is>
      </c>
      <c r="T42" s="17" t="n"/>
      <c r="U42" s="17" t="n"/>
      <c r="V42" s="18" t="inlineStr">
        <is>
          <t>야외테라스</t>
        </is>
      </c>
      <c r="W42" s="17" t="inlineStr">
        <is>
          <t>Claude(웹 수집)</t>
        </is>
      </c>
      <c r="X42" s="22" t="inlineStr">
        <is>
          <t>2026-10-21</t>
        </is>
      </c>
      <c r="Y42" s="18" t="inlineStr">
        <is>
          <t>https://www.diningcode.com/profile.php?rid=9ypqNdpPwzr8</t>
        </is>
      </c>
      <c r="Z42" s="18" t="inlineStr">
        <is>
          <t>초안(웹 수집). 현장 미확인 / 추정 칸: 머무는 시간·1인 지출·태그·지역 / 영업시간 참고: 금·토는 04:00까지</t>
        </is>
      </c>
    </row>
    <row r="43">
      <c r="A43" s="16" t="inlineStr">
        <is>
          <t>store_041</t>
        </is>
      </c>
      <c r="B43" s="17" t="inlineStr">
        <is>
          <t>맷도리</t>
        </is>
      </c>
      <c r="C43" s="17" t="inlineStr">
        <is>
          <t>야간 콘텐츠</t>
        </is>
      </c>
      <c r="D43" s="17" t="inlineStr">
        <is>
          <t>동구 동명동</t>
        </is>
      </c>
      <c r="E43" s="18" t="inlineStr">
        <is>
          <t>광주광역시 동구 동명로 18 1층</t>
        </is>
      </c>
      <c r="F43" s="19" t="n"/>
      <c r="G43" s="19" t="n"/>
      <c r="H43" s="20" t="inlineStr">
        <is>
          <t>18:00</t>
        </is>
      </c>
      <c r="I43" s="20" t="inlineStr">
        <is>
          <t>27:00</t>
        </is>
      </c>
      <c r="J43" s="17" t="n"/>
      <c r="K43" s="17" t="n">
        <v>90</v>
      </c>
      <c r="L43" s="21" t="n">
        <v>11000</v>
      </c>
      <c r="M43" s="18" t="inlineStr">
        <is>
          <t>오늘의모듬 15,000 / 명란통감자 12,000 / 계란말이 10,000</t>
        </is>
      </c>
      <c r="N43" s="17" t="inlineStr">
        <is>
          <t>이자카야</t>
        </is>
      </c>
      <c r="O43" s="17" t="n"/>
      <c r="P43" s="17" t="inlineStr">
        <is>
          <t>술, 식사</t>
        </is>
      </c>
      <c r="Q43" s="17" t="inlineStr">
        <is>
          <t>활기찬</t>
        </is>
      </c>
      <c r="R43" s="17" t="inlineStr">
        <is>
          <t>실내</t>
        </is>
      </c>
      <c r="S43" s="17" t="inlineStr">
        <is>
          <t>저녁, 밤</t>
        </is>
      </c>
      <c r="T43" s="17" t="n"/>
      <c r="U43" s="17" t="n"/>
      <c r="V43" s="18" t="inlineStr">
        <is>
          <t>다찌석</t>
        </is>
      </c>
      <c r="W43" s="17" t="inlineStr">
        <is>
          <t>Claude(웹 수집)</t>
        </is>
      </c>
      <c r="X43" s="22" t="inlineStr">
        <is>
          <t>2026-10-21</t>
        </is>
      </c>
      <c r="Y43" s="18" t="inlineStr">
        <is>
          <t>https://www.diningcode.com/profile.php?rid=dZRKxzzGKtTA</t>
        </is>
      </c>
      <c r="Z43" s="18" t="inlineStr">
        <is>
          <t>초안(웹 수집). 현장 미확인 / 추정 칸: 머무는 시간·1인 지출·태그·지역 / 영업시간 참고: 일-목 기준(03:00까지). 금·토 06:00까지 / 라스트오더 일-목01:30 금토04:30</t>
        </is>
      </c>
    </row>
    <row r="44">
      <c r="A44" s="16" t="inlineStr">
        <is>
          <t>store_042</t>
        </is>
      </c>
      <c r="B44" s="17" t="inlineStr">
        <is>
          <t>동명로15</t>
        </is>
      </c>
      <c r="C44" s="17" t="inlineStr">
        <is>
          <t>야간 콘텐츠</t>
        </is>
      </c>
      <c r="D44" s="17" t="inlineStr">
        <is>
          <t>동구 동명동</t>
        </is>
      </c>
      <c r="E44" s="18" t="inlineStr">
        <is>
          <t>광주광역시 동구 동명로 15</t>
        </is>
      </c>
      <c r="F44" s="19" t="n"/>
      <c r="G44" s="19" t="n"/>
      <c r="H44" s="20" t="inlineStr">
        <is>
          <t>17:00</t>
        </is>
      </c>
      <c r="I44" s="20" t="inlineStr">
        <is>
          <t>26:00</t>
        </is>
      </c>
      <c r="J44" s="17" t="inlineStr">
        <is>
          <t>화</t>
        </is>
      </c>
      <c r="K44" s="17" t="n">
        <v>90</v>
      </c>
      <c r="L44" s="21" t="n">
        <v>14000</v>
      </c>
      <c r="M44" s="18" t="inlineStr">
        <is>
          <t>베스트 꼬치 세트 15,500 / 수제 오코노미야끼 12,000</t>
        </is>
      </c>
      <c r="N44" s="17" t="inlineStr">
        <is>
          <t>이자카야,꼬치구이</t>
        </is>
      </c>
      <c r="O44" s="17" t="n"/>
      <c r="P44" s="17" t="inlineStr">
        <is>
          <t>술, 식사</t>
        </is>
      </c>
      <c r="Q44" s="17" t="inlineStr">
        <is>
          <t>활기찬</t>
        </is>
      </c>
      <c r="R44" s="17" t="inlineStr">
        <is>
          <t>실내</t>
        </is>
      </c>
      <c r="S44" s="17" t="inlineStr">
        <is>
          <t>오후, 저녁, 밤</t>
        </is>
      </c>
      <c r="T44" s="17" t="n"/>
      <c r="U44" s="17" t="n"/>
      <c r="V44" s="18" t="inlineStr">
        <is>
          <t>노미호다이 90분</t>
        </is>
      </c>
      <c r="W44" s="17" t="inlineStr">
        <is>
          <t>Claude(웹 수집)</t>
        </is>
      </c>
      <c r="X44" s="22" t="inlineStr">
        <is>
          <t>2026-10-21</t>
        </is>
      </c>
      <c r="Y44" s="18" t="inlineStr">
        <is>
          <t>https://www.diningcode.com/profile.php?rid=E6QOCixePctd</t>
        </is>
      </c>
      <c r="Z44" s="18" t="inlineStr">
        <is>
          <t>초안(웹 수집). 현장 미확인 / 추정 칸: 머무는 시간·1인 지출·태그·지역 / 영업시간 참고: 금·토 05:00까지</t>
        </is>
      </c>
    </row>
    <row r="45">
      <c r="A45" s="16" t="inlineStr">
        <is>
          <t>store_043</t>
        </is>
      </c>
      <c r="B45" s="17" t="inlineStr">
        <is>
          <t>코지코지</t>
        </is>
      </c>
      <c r="C45" s="17" t="inlineStr">
        <is>
          <t>야간 콘텐츠</t>
        </is>
      </c>
      <c r="D45" s="17" t="inlineStr">
        <is>
          <t>동구 동명동</t>
        </is>
      </c>
      <c r="E45" s="18" t="inlineStr">
        <is>
          <t>광주광역시 동구 장동로 7 1층</t>
        </is>
      </c>
      <c r="F45" s="19" t="n"/>
      <c r="G45" s="19" t="n"/>
      <c r="H45" s="20" t="inlineStr">
        <is>
          <t>16:30</t>
        </is>
      </c>
      <c r="I45" s="20" t="inlineStr">
        <is>
          <t>27:00</t>
        </is>
      </c>
      <c r="J45" s="17" t="n"/>
      <c r="K45" s="17" t="n">
        <v>90</v>
      </c>
      <c r="L45" s="21" t="n">
        <v>24000</v>
      </c>
      <c r="M45" s="18" t="inlineStr">
        <is>
          <t>우삼겹나베 25,500 / 불고기 육전 24,000 / 닭발새우치즈 24,000</t>
        </is>
      </c>
      <c r="N45" s="17" t="inlineStr">
        <is>
          <t>이자카야</t>
        </is>
      </c>
      <c r="O45" s="17" t="n"/>
      <c r="P45" s="17" t="inlineStr">
        <is>
          <t>술, 식사</t>
        </is>
      </c>
      <c r="Q45" s="17" t="inlineStr">
        <is>
          <t>활기찬</t>
        </is>
      </c>
      <c r="R45" s="17" t="inlineStr">
        <is>
          <t>실내</t>
        </is>
      </c>
      <c r="S45" s="17" t="inlineStr">
        <is>
          <t>오후, 저녁, 밤</t>
        </is>
      </c>
      <c r="T45" s="17" t="n"/>
      <c r="U45" s="17" t="n"/>
      <c r="V45" s="18" t="inlineStr">
        <is>
          <t>점심 돈가스 저녁 주점(리뷰)</t>
        </is>
      </c>
      <c r="W45" s="17" t="inlineStr">
        <is>
          <t>Claude(웹 수집)</t>
        </is>
      </c>
      <c r="X45" s="22" t="inlineStr">
        <is>
          <t>2026-10-21</t>
        </is>
      </c>
      <c r="Y45" s="18" t="inlineStr">
        <is>
          <t>https://www.diningcode.com/profile.php?rid=oFAx0xJ2txam</t>
        </is>
      </c>
      <c r="Z45" s="18" t="inlineStr">
        <is>
          <t>초안(웹 수집). 현장 미확인 / 추정 칸: 머무는 시간·1인 지출·태그·지역</t>
        </is>
      </c>
    </row>
    <row r="46">
      <c r="A46" s="16" t="inlineStr">
        <is>
          <t>store_044</t>
        </is>
      </c>
      <c r="B46" s="17" t="inlineStr">
        <is>
          <t>도쿠리</t>
        </is>
      </c>
      <c r="C46" s="17" t="inlineStr">
        <is>
          <t>야간 콘텐츠</t>
        </is>
      </c>
      <c r="D46" s="17" t="inlineStr">
        <is>
          <t>동구 동명동</t>
        </is>
      </c>
      <c r="E46" s="18" t="inlineStr">
        <is>
          <t>광주광역시 동구 백서로 218-1 1층</t>
        </is>
      </c>
      <c r="F46" s="19" t="n"/>
      <c r="G46" s="19" t="n"/>
      <c r="H46" s="20" t="inlineStr">
        <is>
          <t>17:30</t>
        </is>
      </c>
      <c r="I46" s="20" t="inlineStr">
        <is>
          <t>27:00</t>
        </is>
      </c>
      <c r="J46" s="17" t="n"/>
      <c r="K46" s="17" t="n">
        <v>90</v>
      </c>
      <c r="L46" s="21" t="n">
        <v>25000</v>
      </c>
      <c r="M46" s="18" t="inlineStr">
        <is>
          <t>대방어사시미 45,000 / 도쿠리나베 30,000 / 모듬꼬치 20,000</t>
        </is>
      </c>
      <c r="N46" s="17" t="inlineStr">
        <is>
          <t>이자카야</t>
        </is>
      </c>
      <c r="O46" s="17" t="n"/>
      <c r="P46" s="17" t="inlineStr">
        <is>
          <t>술, 식사</t>
        </is>
      </c>
      <c r="Q46" s="17" t="inlineStr">
        <is>
          <t>활기찬</t>
        </is>
      </c>
      <c r="R46" s="17" t="inlineStr">
        <is>
          <t>실내</t>
        </is>
      </c>
      <c r="S46" s="17" t="inlineStr">
        <is>
          <t>오후, 저녁, 밤</t>
        </is>
      </c>
      <c r="T46" s="17" t="n"/>
      <c r="U46" s="17" t="n"/>
      <c r="V46" s="18" t="n"/>
      <c r="W46" s="17" t="inlineStr">
        <is>
          <t>Claude(웹 수집)</t>
        </is>
      </c>
      <c r="X46" s="22" t="inlineStr">
        <is>
          <t>2026-10-21</t>
        </is>
      </c>
      <c r="Y46" s="18" t="inlineStr">
        <is>
          <t>https://www.diningcode.com/profile.php?rid=dwIGnEAR3ReS</t>
        </is>
      </c>
      <c r="Z46" s="18" t="inlineStr">
        <is>
          <t>초안(웹 수집). 현장 미확인 / 추정 칸: 머무는 시간·1인 지출·태그·지역 / 영업시간 참고: 금·토 04:00까지</t>
        </is>
      </c>
    </row>
    <row r="47">
      <c r="A47" s="16" t="inlineStr">
        <is>
          <t>store_045</t>
        </is>
      </c>
      <c r="B47" s="17" t="inlineStr">
        <is>
          <t>오보에루</t>
        </is>
      </c>
      <c r="C47" s="17" t="inlineStr">
        <is>
          <t>야간 콘텐츠</t>
        </is>
      </c>
      <c r="D47" s="17" t="inlineStr">
        <is>
          <t>동구 동명동</t>
        </is>
      </c>
      <c r="E47" s="18" t="inlineStr">
        <is>
          <t>광주광역시 동구 동명로20번길 22-4 1층</t>
        </is>
      </c>
      <c r="F47" s="19" t="n"/>
      <c r="G47" s="19" t="n"/>
      <c r="H47" s="20" t="inlineStr">
        <is>
          <t>18:00</t>
        </is>
      </c>
      <c r="I47" s="20" t="inlineStr">
        <is>
          <t>23:30</t>
        </is>
      </c>
      <c r="J47" s="17" t="inlineStr">
        <is>
          <t>월,화</t>
        </is>
      </c>
      <c r="K47" s="17" t="n">
        <v>90</v>
      </c>
      <c r="L47" s="21" t="n">
        <v>37500</v>
      </c>
      <c r="M47" s="18" t="inlineStr">
        <is>
          <t>무늬오징어&amp;우니 55,000 / 치킨가라아게 20,000 / 오마카세 1인 약12만원(리뷰)</t>
        </is>
      </c>
      <c r="N47" s="17" t="inlineStr">
        <is>
          <t>이자카야,오마카세</t>
        </is>
      </c>
      <c r="O47" s="17" t="n"/>
      <c r="P47" s="17" t="inlineStr">
        <is>
          <t>술, 식사</t>
        </is>
      </c>
      <c r="Q47" s="17" t="inlineStr">
        <is>
          <t>활기찬</t>
        </is>
      </c>
      <c r="R47" s="17" t="inlineStr">
        <is>
          <t>실내</t>
        </is>
      </c>
      <c r="S47" s="17" t="inlineStr">
        <is>
          <t>저녁, 밤</t>
        </is>
      </c>
      <c r="T47" s="17" t="n"/>
      <c r="U47" s="17" t="n"/>
      <c r="V47" s="18" t="inlineStr">
        <is>
          <t>예약제</t>
        </is>
      </c>
      <c r="W47" s="17" t="inlineStr">
        <is>
          <t>Claude(웹 수집)</t>
        </is>
      </c>
      <c r="X47" s="22" t="inlineStr">
        <is>
          <t>2026-10-21</t>
        </is>
      </c>
      <c r="Y47" s="18" t="inlineStr">
        <is>
          <t>https://www.diningcode.com/profile.php?rid=1xo4t0hDaRZI</t>
        </is>
      </c>
      <c r="Z47" s="18" t="inlineStr">
        <is>
          <t>초안(웹 수집). 현장 미확인 / 추정 칸: 머무는 시간·1인 지출·태그·지역 / 영업시간 참고: 요일별로 다름 / 라스트오더 22:30</t>
        </is>
      </c>
    </row>
    <row r="48">
      <c r="A48" s="16" t="inlineStr">
        <is>
          <t>store_046</t>
        </is>
      </c>
      <c r="B48" s="17" t="inlineStr">
        <is>
          <t>야키토리 도요</t>
        </is>
      </c>
      <c r="C48" s="17" t="inlineStr">
        <is>
          <t>야간 콘텐츠</t>
        </is>
      </c>
      <c r="D48" s="17" t="inlineStr">
        <is>
          <t>동구 동명동</t>
        </is>
      </c>
      <c r="E48" s="18" t="inlineStr">
        <is>
          <t>광주광역시 동구 동계천로 143-5 1층</t>
        </is>
      </c>
      <c r="F48" s="19" t="n"/>
      <c r="G48" s="19" t="n"/>
      <c r="H48" s="20" t="inlineStr">
        <is>
          <t>18:00</t>
        </is>
      </c>
      <c r="I48" s="20" t="inlineStr">
        <is>
          <t>27:00</t>
        </is>
      </c>
      <c r="J48" s="17" t="n"/>
      <c r="K48" s="17" t="n">
        <v>90</v>
      </c>
      <c r="L48" s="21" t="n">
        <v>24000</v>
      </c>
      <c r="M48" s="18" t="inlineStr">
        <is>
          <t>도요 한우육회 25,000 / 야키토리 7종 22,500 / 규짬뽕 25,000</t>
        </is>
      </c>
      <c r="N48" s="17" t="inlineStr">
        <is>
          <t>이자카야,야키토리</t>
        </is>
      </c>
      <c r="O48" s="17" t="n"/>
      <c r="P48" s="17" t="inlineStr">
        <is>
          <t>술, 식사</t>
        </is>
      </c>
      <c r="Q48" s="17" t="inlineStr">
        <is>
          <t>활기찬</t>
        </is>
      </c>
      <c r="R48" s="17" t="inlineStr">
        <is>
          <t>실내</t>
        </is>
      </c>
      <c r="S48" s="17" t="inlineStr">
        <is>
          <t>저녁, 밤</t>
        </is>
      </c>
      <c r="T48" s="17" t="n"/>
      <c r="U48" s="17" t="n"/>
      <c r="V48" s="18" t="inlineStr">
        <is>
          <t>이로리야키</t>
        </is>
      </c>
      <c r="W48" s="17" t="inlineStr">
        <is>
          <t>Claude(웹 수집)</t>
        </is>
      </c>
      <c r="X48" s="22" t="inlineStr">
        <is>
          <t>2026-10-21</t>
        </is>
      </c>
      <c r="Y48" s="18" t="inlineStr">
        <is>
          <t>https://www.diningcode.com/profile.php?rid=bs6ZptPmNYD3</t>
        </is>
      </c>
      <c r="Z48" s="18" t="inlineStr">
        <is>
          <t>초안(웹 수집). 현장 미확인 / 추정 칸: 머무는 시간·1인 지출·태그·지역 / 영업시간 참고: 평일 기준. 토·일 17:00 시작 / 라스트오더 02:00</t>
        </is>
      </c>
    </row>
    <row r="49">
      <c r="A49" s="16" t="inlineStr">
        <is>
          <t>store_047</t>
        </is>
      </c>
      <c r="B49" s="17" t="inlineStr">
        <is>
          <t>리리커피로스터리 광주본점</t>
        </is>
      </c>
      <c r="C49" s="17" t="inlineStr">
        <is>
          <t>카페·디저트</t>
        </is>
      </c>
      <c r="D49" s="17" t="inlineStr">
        <is>
          <t>동구 동명동</t>
        </is>
      </c>
      <c r="E49" s="18" t="inlineStr">
        <is>
          <t>광주광역시 동구 동계천로 169-3</t>
        </is>
      </c>
      <c r="F49" s="19" t="n"/>
      <c r="G49" s="19" t="n"/>
      <c r="H49" s="20" t="inlineStr">
        <is>
          <t>11:00</t>
        </is>
      </c>
      <c r="I49" s="20" t="inlineStr">
        <is>
          <t>22:00</t>
        </is>
      </c>
      <c r="J49" s="17" t="n"/>
      <c r="K49" s="17" t="n">
        <v>60</v>
      </c>
      <c r="L49" s="21" t="n">
        <v>5000</v>
      </c>
      <c r="M49" s="18" t="inlineStr">
        <is>
          <t>아메리카노 4,000 / 핸드드립 7,500 / 아인슈페너 5,500</t>
        </is>
      </c>
      <c r="N49" s="17" t="inlineStr">
        <is>
          <t>카페 로스터리</t>
        </is>
      </c>
      <c r="O49" s="17" t="n"/>
      <c r="P49" s="17" t="inlineStr">
        <is>
          <t>카페·디저트</t>
        </is>
      </c>
      <c r="Q49" s="17" t="inlineStr">
        <is>
          <t>현대적</t>
        </is>
      </c>
      <c r="R49" s="17" t="inlineStr">
        <is>
          <t>실내</t>
        </is>
      </c>
      <c r="S49" s="17" t="inlineStr">
        <is>
          <t>오전, 오후, 저녁</t>
        </is>
      </c>
      <c r="T49" s="17" t="n"/>
      <c r="U49" s="17" t="n"/>
      <c r="V49" s="18" t="inlineStr">
        <is>
          <t>2층 대형, 반려동물 동반</t>
        </is>
      </c>
      <c r="W49" s="17" t="inlineStr">
        <is>
          <t>Claude(웹 수집)</t>
        </is>
      </c>
      <c r="X49" s="22" t="inlineStr">
        <is>
          <t>2026-10-21</t>
        </is>
      </c>
      <c r="Y49" s="18" t="inlineStr">
        <is>
          <t>https://www.diningcode.com/profile.php?rid=zJAmXLNOnn02</t>
        </is>
      </c>
      <c r="Z49" s="18" t="inlineStr">
        <is>
          <t>초안(웹 수집). 현장 미확인 / 추정 칸: 머무는 시간·1인 지출·태그·지역</t>
        </is>
      </c>
    </row>
    <row r="50">
      <c r="A50" s="16" t="inlineStr">
        <is>
          <t>store_048</t>
        </is>
      </c>
      <c r="B50" s="17" t="inlineStr">
        <is>
          <t>물고기 커피 로스터스</t>
        </is>
      </c>
      <c r="C50" s="17" t="inlineStr">
        <is>
          <t>카페·디저트</t>
        </is>
      </c>
      <c r="D50" s="17" t="inlineStr">
        <is>
          <t>동구 동명동</t>
        </is>
      </c>
      <c r="E50" s="18" t="inlineStr">
        <is>
          <t>광주광역시 동구 장동로 34 1층</t>
        </is>
      </c>
      <c r="F50" s="19" t="n"/>
      <c r="G50" s="19" t="n"/>
      <c r="H50" s="20" t="inlineStr">
        <is>
          <t>09:00</t>
        </is>
      </c>
      <c r="I50" s="20" t="inlineStr">
        <is>
          <t>15:00</t>
        </is>
      </c>
      <c r="J50" s="17" t="inlineStr">
        <is>
          <t>일,월</t>
        </is>
      </c>
      <c r="K50" s="17" t="n">
        <v>60</v>
      </c>
      <c r="L50" s="21" t="n">
        <v>9000</v>
      </c>
      <c r="M50" s="18" t="inlineStr">
        <is>
          <t>핸드드립 6,500 / 파나마 게이샤 핸드드립 11,000</t>
        </is>
      </c>
      <c r="N50" s="17" t="inlineStr">
        <is>
          <t>커피 핸드드립</t>
        </is>
      </c>
      <c r="O50" s="17" t="n"/>
      <c r="P50" s="17" t="inlineStr">
        <is>
          <t>카페·디저트</t>
        </is>
      </c>
      <c r="Q50" s="17" t="inlineStr">
        <is>
          <t>현대적</t>
        </is>
      </c>
      <c r="R50" s="17" t="inlineStr">
        <is>
          <t>실내</t>
        </is>
      </c>
      <c r="S50" s="17" t="inlineStr">
        <is>
          <t>오전, 오후</t>
        </is>
      </c>
      <c r="T50" s="17" t="n"/>
      <c r="U50" s="17" t="n"/>
      <c r="V50" s="18" t="inlineStr">
        <is>
          <t>직접 로스팅</t>
        </is>
      </c>
      <c r="W50" s="17" t="inlineStr">
        <is>
          <t>Claude(웹 수집)</t>
        </is>
      </c>
      <c r="X50" s="22" t="inlineStr">
        <is>
          <t>2026-10-21</t>
        </is>
      </c>
      <c r="Y50" s="18" t="inlineStr">
        <is>
          <t>https://www.diningcode.com/profile.php?rid=unr02NIDjr5d</t>
        </is>
      </c>
      <c r="Z50" s="18" t="inlineStr">
        <is>
          <t>초안(웹 수집). 현장 미확인 / 추정 칸: 머무는 시간·1인 지출·태그·지역</t>
        </is>
      </c>
    </row>
    <row r="51">
      <c r="A51" s="16" t="inlineStr">
        <is>
          <t>store_049</t>
        </is>
      </c>
      <c r="B51" s="17" t="inlineStr">
        <is>
          <t>네츄럴커피스톨</t>
        </is>
      </c>
      <c r="C51" s="17" t="inlineStr">
        <is>
          <t>카페·디저트</t>
        </is>
      </c>
      <c r="D51" s="17" t="inlineStr">
        <is>
          <t>동구 산수동</t>
        </is>
      </c>
      <c r="E51" s="18" t="inlineStr">
        <is>
          <t>광주광역시 동구 지호로70번길 2 1층</t>
        </is>
      </c>
      <c r="F51" s="19" t="n"/>
      <c r="G51" s="19" t="n"/>
      <c r="H51" s="20" t="inlineStr">
        <is>
          <t>08:00</t>
        </is>
      </c>
      <c r="I51" s="20" t="inlineStr">
        <is>
          <t>18:00</t>
        </is>
      </c>
      <c r="J51" s="17" t="inlineStr">
        <is>
          <t>토,일</t>
        </is>
      </c>
      <c r="K51" s="17" t="n">
        <v>60</v>
      </c>
      <c r="L51" s="21" t="n">
        <v>6000</v>
      </c>
      <c r="M51" s="18" t="inlineStr">
        <is>
          <t>흑임자라떼 5,800</t>
        </is>
      </c>
      <c r="N51" s="17" t="inlineStr">
        <is>
          <t>커피</t>
        </is>
      </c>
      <c r="O51" s="17" t="n"/>
      <c r="P51" s="17" t="inlineStr">
        <is>
          <t>카페·디저트</t>
        </is>
      </c>
      <c r="Q51" s="17" t="inlineStr">
        <is>
          <t>현대적</t>
        </is>
      </c>
      <c r="R51" s="17" t="inlineStr">
        <is>
          <t>실내</t>
        </is>
      </c>
      <c r="S51" s="17" t="inlineStr">
        <is>
          <t>오전, 오후</t>
        </is>
      </c>
      <c r="T51" s="17" t="n"/>
      <c r="U51" s="17" t="n"/>
      <c r="V51" s="18" t="inlineStr">
        <is>
          <t>테이크아웃</t>
        </is>
      </c>
      <c r="W51" s="17" t="inlineStr">
        <is>
          <t>Claude(웹 수집)</t>
        </is>
      </c>
      <c r="X51" s="22" t="inlineStr">
        <is>
          <t>2026-10-21</t>
        </is>
      </c>
      <c r="Y51" s="18" t="inlineStr">
        <is>
          <t>https://www.diningcode.com/profile.php?rid=k7XCqFLXwaZN</t>
        </is>
      </c>
      <c r="Z51" s="18" t="inlineStr">
        <is>
          <t>초안(웹 수집). 현장 미확인 / 추정 칸: 머무는 시간·1인 지출·태그·지역 / 라스트오더 17:30</t>
        </is>
      </c>
    </row>
    <row r="52">
      <c r="A52" s="16" t="inlineStr">
        <is>
          <t>store_050</t>
        </is>
      </c>
      <c r="B52" s="17" t="inlineStr">
        <is>
          <t>커프커프하우스 동명점</t>
        </is>
      </c>
      <c r="C52" s="17" t="inlineStr">
        <is>
          <t>카페·디저트</t>
        </is>
      </c>
      <c r="D52" s="17" t="inlineStr">
        <is>
          <t>동구 동명동</t>
        </is>
      </c>
      <c r="E52" s="18" t="inlineStr">
        <is>
          <t>광주광역시 동구 동명로14번길 5 1층</t>
        </is>
      </c>
      <c r="F52" s="19" t="n"/>
      <c r="G52" s="19" t="n"/>
      <c r="H52" s="20" t="inlineStr">
        <is>
          <t>11:00</t>
        </is>
      </c>
      <c r="I52" s="20" t="inlineStr">
        <is>
          <t>23:00</t>
        </is>
      </c>
      <c r="J52" s="17" t="n"/>
      <c r="K52" s="17" t="n">
        <v>60</v>
      </c>
      <c r="L52" s="21" t="n">
        <v>11000</v>
      </c>
      <c r="M52" s="18" t="inlineStr">
        <is>
          <t>프렌치토스트 9,500 / 시즌토스트 12,000</t>
        </is>
      </c>
      <c r="N52" s="17" t="inlineStr">
        <is>
          <t>카페,프렌치토스트</t>
        </is>
      </c>
      <c r="O52" s="17" t="n"/>
      <c r="P52" s="17" t="inlineStr">
        <is>
          <t>카페·디저트</t>
        </is>
      </c>
      <c r="Q52" s="17" t="inlineStr">
        <is>
          <t>현대적</t>
        </is>
      </c>
      <c r="R52" s="17" t="inlineStr">
        <is>
          <t>실내</t>
        </is>
      </c>
      <c r="S52" s="17" t="inlineStr">
        <is>
          <t>오전, 오후, 저녁, 밤</t>
        </is>
      </c>
      <c r="T52" s="17" t="n"/>
      <c r="U52" s="17" t="n"/>
      <c r="V52" s="18" t="inlineStr">
        <is>
          <t>2층 확장</t>
        </is>
      </c>
      <c r="W52" s="17" t="inlineStr">
        <is>
          <t>Claude(웹 수집)</t>
        </is>
      </c>
      <c r="X52" s="22" t="inlineStr">
        <is>
          <t>2026-10-21</t>
        </is>
      </c>
      <c r="Y52" s="18" t="inlineStr">
        <is>
          <t>https://www.diningcode.com/profile.php?rid=BG3yIQddd1eS</t>
        </is>
      </c>
      <c r="Z52" s="18" t="inlineStr">
        <is>
          <t>초안(웹 수집). 현장 미확인 / 추정 칸: 머무는 시간·1인 지출·태그·지역 / 라스트오더 21:00(블로그)</t>
        </is>
      </c>
    </row>
    <row r="53">
      <c r="A53" s="16" t="inlineStr">
        <is>
          <t>store_051</t>
        </is>
      </c>
      <c r="B53" s="17" t="inlineStr">
        <is>
          <t>커피한잔</t>
        </is>
      </c>
      <c r="C53" s="17" t="inlineStr">
        <is>
          <t>카페·디저트</t>
        </is>
      </c>
      <c r="D53" s="17" t="inlineStr">
        <is>
          <t>동구 산수동</t>
        </is>
      </c>
      <c r="E53" s="18" t="inlineStr">
        <is>
          <t>광주광역시 동구 지호로 32-4</t>
        </is>
      </c>
      <c r="F53" s="19" t="n"/>
      <c r="G53" s="19" t="n"/>
      <c r="H53" s="20" t="inlineStr">
        <is>
          <t>09:00</t>
        </is>
      </c>
      <c r="I53" s="20" t="inlineStr">
        <is>
          <t>22:00</t>
        </is>
      </c>
      <c r="J53" s="17" t="n"/>
      <c r="K53" s="17" t="n">
        <v>60</v>
      </c>
      <c r="L53" s="21" t="n">
        <v>4500</v>
      </c>
      <c r="M53" s="18" t="inlineStr">
        <is>
          <t>아메리카노 4,000 / 카라멜 마끼아또 5,000</t>
        </is>
      </c>
      <c r="N53" s="17" t="inlineStr">
        <is>
          <t>카페,커피</t>
        </is>
      </c>
      <c r="O53" s="17" t="n"/>
      <c r="P53" s="17" t="inlineStr">
        <is>
          <t>카페·디저트</t>
        </is>
      </c>
      <c r="Q53" s="17" t="inlineStr">
        <is>
          <t>현대적</t>
        </is>
      </c>
      <c r="R53" s="17" t="inlineStr">
        <is>
          <t>실내</t>
        </is>
      </c>
      <c r="S53" s="17" t="inlineStr">
        <is>
          <t>오전, 오후, 저녁</t>
        </is>
      </c>
      <c r="T53" s="17" t="n"/>
      <c r="U53" s="17" t="n"/>
      <c r="V53" s="18" t="inlineStr">
        <is>
          <t>SCA 커피감별사 직접 로스팅</t>
        </is>
      </c>
      <c r="W53" s="17" t="inlineStr">
        <is>
          <t>Claude(웹 수집)</t>
        </is>
      </c>
      <c r="X53" s="22" t="inlineStr">
        <is>
          <t>2026-10-21</t>
        </is>
      </c>
      <c r="Y53" s="18" t="inlineStr">
        <is>
          <t>https://www.diningcode.com/profile.php?rid=fPvx8eK0Pq0p</t>
        </is>
      </c>
      <c r="Z53" s="18" t="inlineStr">
        <is>
          <t>초안(웹 수집). 현장 미확인 / 추정 칸: 머무는 시간·1인 지출·태그·지역</t>
        </is>
      </c>
    </row>
    <row r="54">
      <c r="A54" s="16" t="inlineStr">
        <is>
          <t>store_052</t>
        </is>
      </c>
      <c r="B54" s="17" t="inlineStr">
        <is>
          <t>코오피 동명점</t>
        </is>
      </c>
      <c r="C54" s="17" t="inlineStr">
        <is>
          <t>카페·디저트</t>
        </is>
      </c>
      <c r="D54" s="17" t="inlineStr">
        <is>
          <t>동구 대인동</t>
        </is>
      </c>
      <c r="E54" s="18" t="inlineStr">
        <is>
          <t>광주광역시 동구 제봉로138번길 12</t>
        </is>
      </c>
      <c r="F54" s="19" t="n"/>
      <c r="G54" s="19" t="n"/>
      <c r="H54" s="20" t="inlineStr">
        <is>
          <t>12:00</t>
        </is>
      </c>
      <c r="I54" s="20" t="inlineStr">
        <is>
          <t>22:00</t>
        </is>
      </c>
      <c r="J54" s="17" t="inlineStr">
        <is>
          <t>월</t>
        </is>
      </c>
      <c r="K54" s="17" t="n">
        <v>60</v>
      </c>
      <c r="L54" s="21" t="n">
        <v>6000</v>
      </c>
      <c r="M54" s="18" t="inlineStr">
        <is>
          <t>코오피 딸기라떼 6,500 / 두바이쫀득쿠키 5,000</t>
        </is>
      </c>
      <c r="N54" s="17" t="inlineStr">
        <is>
          <t>카페</t>
        </is>
      </c>
      <c r="O54" s="17" t="n"/>
      <c r="P54" s="17" t="inlineStr">
        <is>
          <t>카페·디저트</t>
        </is>
      </c>
      <c r="Q54" s="17" t="inlineStr">
        <is>
          <t>감성적</t>
        </is>
      </c>
      <c r="R54" s="17" t="inlineStr">
        <is>
          <t>실내외</t>
        </is>
      </c>
      <c r="S54" s="17" t="inlineStr">
        <is>
          <t>오후, 저녁</t>
        </is>
      </c>
      <c r="T54" s="17" t="n"/>
      <c r="U54" s="17" t="n"/>
      <c r="V54" s="18" t="inlineStr">
        <is>
          <t>한옥 개조, 테라스</t>
        </is>
      </c>
      <c r="W54" s="17" t="inlineStr">
        <is>
          <t>Claude(웹 수집)</t>
        </is>
      </c>
      <c r="X54" s="22" t="inlineStr">
        <is>
          <t>2026-10-21</t>
        </is>
      </c>
      <c r="Y54" s="18" t="inlineStr">
        <is>
          <t>https://www.diningcode.com/profile.php?rid=TxvGCR7aiLB8</t>
        </is>
      </c>
      <c r="Z54" s="18" t="inlineStr">
        <is>
          <t>초안(웹 수집). 현장 미확인 / 추정 칸: 머무는 시간·1인 지출·태그·지역</t>
        </is>
      </c>
    </row>
    <row r="55">
      <c r="A55" s="16" t="inlineStr">
        <is>
          <t>store_053</t>
        </is>
      </c>
      <c r="B55" s="17" t="inlineStr">
        <is>
          <t>홉커피</t>
        </is>
      </c>
      <c r="C55" s="17" t="inlineStr">
        <is>
          <t>카페·디저트</t>
        </is>
      </c>
      <c r="D55" s="17" t="inlineStr">
        <is>
          <t>동구 동명동</t>
        </is>
      </c>
      <c r="E55" s="18" t="inlineStr">
        <is>
          <t>광주광역시 동구 동계로 1 (1,2층)</t>
        </is>
      </c>
      <c r="F55" s="19" t="n"/>
      <c r="G55" s="19" t="n"/>
      <c r="H55" s="20" t="inlineStr">
        <is>
          <t>12:00</t>
        </is>
      </c>
      <c r="I55" s="20" t="inlineStr">
        <is>
          <t>22:00</t>
        </is>
      </c>
      <c r="J55" s="17" t="inlineStr">
        <is>
          <t>월</t>
        </is>
      </c>
      <c r="K55" s="17" t="n">
        <v>60</v>
      </c>
      <c r="L55" s="21" t="n">
        <v>7000</v>
      </c>
      <c r="M55" s="18" t="inlineStr">
        <is>
          <t>피스타치오 체리푸딩 8,000 / 밤푸딩 8,000 / 에이드 6,000</t>
        </is>
      </c>
      <c r="N55" s="17" t="inlineStr">
        <is>
          <t>카페,푸딩</t>
        </is>
      </c>
      <c r="O55" s="17" t="n"/>
      <c r="P55" s="17" t="inlineStr">
        <is>
          <t>카페·디저트</t>
        </is>
      </c>
      <c r="Q55" s="17" t="inlineStr">
        <is>
          <t>현대적</t>
        </is>
      </c>
      <c r="R55" s="17" t="inlineStr">
        <is>
          <t>실내</t>
        </is>
      </c>
      <c r="S55" s="17" t="inlineStr">
        <is>
          <t>오후, 저녁</t>
        </is>
      </c>
      <c r="T55" s="17" t="n"/>
      <c r="U55" s="17" t="n"/>
      <c r="V55" s="18" t="inlineStr">
        <is>
          <t>블라인드북 판매</t>
        </is>
      </c>
      <c r="W55" s="17" t="inlineStr">
        <is>
          <t>Claude(웹 수집)</t>
        </is>
      </c>
      <c r="X55" s="22" t="inlineStr">
        <is>
          <t>2026-10-21</t>
        </is>
      </c>
      <c r="Y55" s="18" t="inlineStr">
        <is>
          <t>https://www.diningcode.com/profile.php?rid=OeHbwJDmlSvm</t>
        </is>
      </c>
      <c r="Z55" s="18" t="inlineStr">
        <is>
          <t>초안(웹 수집). 현장 미확인 / 추정 칸: 머무는 시간·1인 지출·태그·지역</t>
        </is>
      </c>
    </row>
    <row r="56">
      <c r="A56" s="16" t="inlineStr">
        <is>
          <t>store_054</t>
        </is>
      </c>
      <c r="B56" s="17" t="inlineStr">
        <is>
          <t>호재</t>
        </is>
      </c>
      <c r="C56" s="17" t="inlineStr">
        <is>
          <t>카페·디저트</t>
        </is>
      </c>
      <c r="D56" s="17" t="inlineStr">
        <is>
          <t>동구 동명동</t>
        </is>
      </c>
      <c r="E56" s="18" t="inlineStr">
        <is>
          <t>광주광역시 동구 동명로67번길 22-49</t>
        </is>
      </c>
      <c r="F56" s="19" t="n"/>
      <c r="G56" s="19" t="n"/>
      <c r="H56" s="20" t="inlineStr">
        <is>
          <t>11:30</t>
        </is>
      </c>
      <c r="I56" s="20" t="inlineStr">
        <is>
          <t>25:00</t>
        </is>
      </c>
      <c r="J56" s="17" t="n"/>
      <c r="K56" s="17" t="n">
        <v>60</v>
      </c>
      <c r="L56" s="21" t="n">
        <v>7500</v>
      </c>
      <c r="M56" s="18" t="inlineStr">
        <is>
          <t>호재라떼 6,800 / 필터커피 7,800</t>
        </is>
      </c>
      <c r="N56" s="17" t="inlineStr">
        <is>
          <t>한옥카페</t>
        </is>
      </c>
      <c r="O56" s="17" t="n"/>
      <c r="P56" s="17" t="inlineStr">
        <is>
          <t>카페·디저트</t>
        </is>
      </c>
      <c r="Q56" s="17" t="inlineStr">
        <is>
          <t>감성적</t>
        </is>
      </c>
      <c r="R56" s="17" t="inlineStr">
        <is>
          <t>실내외</t>
        </is>
      </c>
      <c r="S56" s="17" t="inlineStr">
        <is>
          <t>오전, 오후, 저녁, 밤</t>
        </is>
      </c>
      <c r="T56" s="17" t="n"/>
      <c r="U56" s="17" t="n"/>
      <c r="V56" s="18" t="inlineStr">
        <is>
          <t>한옥 분위기, 테라스</t>
        </is>
      </c>
      <c r="W56" s="17" t="inlineStr">
        <is>
          <t>Claude(웹 수집)</t>
        </is>
      </c>
      <c r="X56" s="22" t="inlineStr">
        <is>
          <t>2026-10-21</t>
        </is>
      </c>
      <c r="Y56" s="18" t="inlineStr">
        <is>
          <t>https://www.diningcode.com/profile.php?rid=FkDdAZTYEQoS</t>
        </is>
      </c>
      <c r="Z56" s="18" t="inlineStr">
        <is>
          <t>초안(웹 수집). 현장 미확인 / 추정 칸: 머무는 시간·1인 지출·태그·지역</t>
        </is>
      </c>
    </row>
    <row r="57">
      <c r="A57" s="16" t="inlineStr">
        <is>
          <t>store_055</t>
        </is>
      </c>
      <c r="B57" s="17" t="inlineStr">
        <is>
          <t>솔티드머랭</t>
        </is>
      </c>
      <c r="C57" s="17" t="inlineStr">
        <is>
          <t>카페·디저트</t>
        </is>
      </c>
      <c r="D57" s="17" t="inlineStr">
        <is>
          <t>동구 동명동</t>
        </is>
      </c>
      <c r="E57" s="18" t="inlineStr">
        <is>
          <t>광주광역시 동구 백서로 229</t>
        </is>
      </c>
      <c r="F57" s="19" t="n"/>
      <c r="G57" s="19" t="n"/>
      <c r="H57" s="20" t="inlineStr">
        <is>
          <t>11:00</t>
        </is>
      </c>
      <c r="I57" s="20" t="inlineStr">
        <is>
          <t>21:00</t>
        </is>
      </c>
      <c r="J57" s="17" t="inlineStr">
        <is>
          <t>화</t>
        </is>
      </c>
      <c r="K57" s="17" t="n">
        <v>20</v>
      </c>
      <c r="L57" s="21" t="n">
        <v>5000</v>
      </c>
      <c r="M57" s="18" t="inlineStr">
        <is>
          <t>아메리카노 4,500 / 카라멜마끼아또 5,500</t>
        </is>
      </c>
      <c r="N57" s="17" t="inlineStr">
        <is>
          <t>케이크,디저트</t>
        </is>
      </c>
      <c r="O57" s="17" t="n"/>
      <c r="P57" s="17" t="inlineStr">
        <is>
          <t>카페·디저트</t>
        </is>
      </c>
      <c r="Q57" s="17" t="inlineStr">
        <is>
          <t>현대적</t>
        </is>
      </c>
      <c r="R57" s="17" t="inlineStr">
        <is>
          <t>실내</t>
        </is>
      </c>
      <c r="S57" s="17" t="inlineStr">
        <is>
          <t>오전, 오후, 저녁</t>
        </is>
      </c>
      <c r="T57" s="17" t="n"/>
      <c r="U57" s="17" t="n"/>
      <c r="V57" s="18" t="inlineStr">
        <is>
          <t>케이크·타르트·마카롱 직접 생산</t>
        </is>
      </c>
      <c r="W57" s="17" t="inlineStr">
        <is>
          <t>Claude(웹 수집)</t>
        </is>
      </c>
      <c r="X57" s="22" t="inlineStr">
        <is>
          <t>2026-10-21</t>
        </is>
      </c>
      <c r="Y57" s="18" t="inlineStr">
        <is>
          <t>https://www.diningcode.com/profile.php?rid=rPInOOD3oPyx</t>
        </is>
      </c>
      <c r="Z57" s="18" t="inlineStr">
        <is>
          <t>초안(웹 수집). 현장 미확인 / 추정 칸: 머무는 시간·1인 지출·태그·지역</t>
        </is>
      </c>
    </row>
    <row r="58">
      <c r="A58" s="16" t="inlineStr">
        <is>
          <t>store_056</t>
        </is>
      </c>
      <c r="B58" s="17" t="inlineStr">
        <is>
          <t>딜라이트베이크샵</t>
        </is>
      </c>
      <c r="C58" s="17" t="inlineStr">
        <is>
          <t>카페·디저트</t>
        </is>
      </c>
      <c r="D58" s="17" t="inlineStr">
        <is>
          <t>동구</t>
        </is>
      </c>
      <c r="E58" s="18" t="inlineStr">
        <is>
          <t>광주광역시 동구 필문대로 261 1층</t>
        </is>
      </c>
      <c r="F58" s="19" t="n"/>
      <c r="G58" s="19" t="n"/>
      <c r="H58" s="20" t="inlineStr">
        <is>
          <t>12:00</t>
        </is>
      </c>
      <c r="I58" s="20" t="inlineStr">
        <is>
          <t>18:00</t>
        </is>
      </c>
      <c r="J58" s="17" t="inlineStr">
        <is>
          <t>일</t>
        </is>
      </c>
      <c r="K58" s="17" t="n">
        <v>20</v>
      </c>
      <c r="L58" s="21" t="n">
        <v>4000</v>
      </c>
      <c r="M58" s="18" t="inlineStr">
        <is>
          <t>두바이 쫀득쿠키 4,500 / 수제 마들렌 3,300</t>
        </is>
      </c>
      <c r="N58" s="17" t="inlineStr">
        <is>
          <t>케이크,레터링케이크</t>
        </is>
      </c>
      <c r="O58" s="17" t="n"/>
      <c r="P58" s="17" t="inlineStr">
        <is>
          <t>카페·디저트</t>
        </is>
      </c>
      <c r="Q58" s="17" t="inlineStr">
        <is>
          <t>현대적</t>
        </is>
      </c>
      <c r="R58" s="17" t="inlineStr">
        <is>
          <t>실내</t>
        </is>
      </c>
      <c r="S58" s="17" t="inlineStr">
        <is>
          <t>오후</t>
        </is>
      </c>
      <c r="T58" s="17" t="n"/>
      <c r="U58" s="17" t="n"/>
      <c r="V58" s="18" t="n"/>
      <c r="W58" s="17" t="inlineStr">
        <is>
          <t>Claude(웹 수집)</t>
        </is>
      </c>
      <c r="X58" s="22" t="inlineStr">
        <is>
          <t>2026-10-21</t>
        </is>
      </c>
      <c r="Y58" s="18" t="inlineStr">
        <is>
          <t>https://www.diningcode.com/profile.php?rid=Q7YLkLRTfEBR</t>
        </is>
      </c>
      <c r="Z58" s="18" t="inlineStr">
        <is>
          <t>초안(웹 수집). 현장 미확인 / 추정 칸: 머무는 시간·1인 지출·태그·지역</t>
        </is>
      </c>
    </row>
    <row r="59">
      <c r="A59" s="16" t="inlineStr">
        <is>
          <t>store_057</t>
        </is>
      </c>
      <c r="B59" s="17" t="inlineStr">
        <is>
          <t>코코로나인</t>
        </is>
      </c>
      <c r="C59" s="17" t="inlineStr">
        <is>
          <t>카페·디저트</t>
        </is>
      </c>
      <c r="D59" s="17" t="inlineStr">
        <is>
          <t>동구 동명동</t>
        </is>
      </c>
      <c r="E59" s="18" t="inlineStr">
        <is>
          <t>광주광역시 동구 장동로 36</t>
        </is>
      </c>
      <c r="F59" s="19" t="n"/>
      <c r="G59" s="19" t="n"/>
      <c r="H59" s="20" t="inlineStr">
        <is>
          <t>11:00</t>
        </is>
      </c>
      <c r="I59" s="20" t="inlineStr">
        <is>
          <t>22:00</t>
        </is>
      </c>
      <c r="J59" s="17" t="inlineStr">
        <is>
          <t>월</t>
        </is>
      </c>
      <c r="K59" s="17" t="n">
        <v>20</v>
      </c>
      <c r="L59" s="21" t="n">
        <v>16000</v>
      </c>
      <c r="M59" s="18" t="inlineStr">
        <is>
          <t>황치즈 세트 25,500 / 뽀또 치즈 크럼블 블론디 6,800</t>
        </is>
      </c>
      <c r="N59" s="17" t="inlineStr">
        <is>
          <t>디저트,치즈케이크</t>
        </is>
      </c>
      <c r="O59" s="17" t="n"/>
      <c r="P59" s="17" t="inlineStr">
        <is>
          <t>카페·디저트</t>
        </is>
      </c>
      <c r="Q59" s="17" t="inlineStr">
        <is>
          <t>현대적</t>
        </is>
      </c>
      <c r="R59" s="17" t="inlineStr">
        <is>
          <t>실내</t>
        </is>
      </c>
      <c r="S59" s="17" t="inlineStr">
        <is>
          <t>오전, 오후, 저녁</t>
        </is>
      </c>
      <c r="T59" s="17" t="n"/>
      <c r="U59" s="17" t="n"/>
      <c r="V59" s="18" t="inlineStr">
        <is>
          <t>글루텐프리 메뉴</t>
        </is>
      </c>
      <c r="W59" s="17" t="inlineStr">
        <is>
          <t>Claude(웹 수집)</t>
        </is>
      </c>
      <c r="X59" s="22" t="inlineStr">
        <is>
          <t>2026-10-21</t>
        </is>
      </c>
      <c r="Y59" s="18" t="inlineStr">
        <is>
          <t>https://www.diningcode.com/profile.php?rid=KqK71rUHypyr</t>
        </is>
      </c>
      <c r="Z59" s="18" t="inlineStr">
        <is>
          <t>초안(웹 수집). 현장 미확인 / 추정 칸: 머무는 시간·1인 지출·태그·지역</t>
        </is>
      </c>
    </row>
    <row r="60">
      <c r="A60" s="16" t="inlineStr">
        <is>
          <t>store_058</t>
        </is>
      </c>
      <c r="B60" s="17" t="inlineStr">
        <is>
          <t>코다</t>
        </is>
      </c>
      <c r="C60" s="17" t="inlineStr">
        <is>
          <t>카페·디저트</t>
        </is>
      </c>
      <c r="D60" s="17" t="inlineStr">
        <is>
          <t>동구 동명동</t>
        </is>
      </c>
      <c r="E60" s="18" t="inlineStr">
        <is>
          <t>광주광역시 동구 동명로14번길 9 1층</t>
        </is>
      </c>
      <c r="F60" s="19" t="n"/>
      <c r="G60" s="19" t="n"/>
      <c r="H60" s="20" t="inlineStr">
        <is>
          <t>12:00</t>
        </is>
      </c>
      <c r="I60" s="20" t="inlineStr">
        <is>
          <t>24:00</t>
        </is>
      </c>
      <c r="J60" s="17" t="n"/>
      <c r="K60" s="17" t="n">
        <v>40</v>
      </c>
      <c r="L60" s="21" t="n">
        <v>7500</v>
      </c>
      <c r="M60" s="18" t="inlineStr">
        <is>
          <t>토마토파블로바 8,500 / 텐저린플랫 6,500 / CODA 9,500</t>
        </is>
      </c>
      <c r="N60" s="17" t="inlineStr">
        <is>
          <t>카페,디저트</t>
        </is>
      </c>
      <c r="O60" s="17" t="n"/>
      <c r="P60" s="17" t="inlineStr">
        <is>
          <t>카페·디저트</t>
        </is>
      </c>
      <c r="Q60" s="17" t="inlineStr">
        <is>
          <t>현대적</t>
        </is>
      </c>
      <c r="R60" s="17" t="inlineStr">
        <is>
          <t>실내</t>
        </is>
      </c>
      <c r="S60" s="17" t="inlineStr">
        <is>
          <t>오후, 저녁, 밤</t>
        </is>
      </c>
      <c r="T60" s="17" t="n"/>
      <c r="U60" s="17" t="n"/>
      <c r="V60" s="18" t="n"/>
      <c r="W60" s="17" t="inlineStr">
        <is>
          <t>Claude(웹 수집)</t>
        </is>
      </c>
      <c r="X60" s="22" t="inlineStr">
        <is>
          <t>2026-10-21</t>
        </is>
      </c>
      <c r="Y60" s="18" t="inlineStr">
        <is>
          <t>https://www.diningcode.com/profile.php?rid=qi3IjdjNlRzE</t>
        </is>
      </c>
      <c r="Z60" s="18" t="inlineStr">
        <is>
          <t>초안(웹 수집). 현장 미확인 / 추정 칸: 머무는 시간·1인 지출·태그·지역 / 라스트오더 23:30</t>
        </is>
      </c>
    </row>
    <row r="61">
      <c r="A61" s="16" t="inlineStr">
        <is>
          <t>store_059</t>
        </is>
      </c>
      <c r="B61" s="17" t="inlineStr">
        <is>
          <t>케이꾸</t>
        </is>
      </c>
      <c r="C61" s="17" t="inlineStr">
        <is>
          <t>카페·디저트</t>
        </is>
      </c>
      <c r="D61" s="17" t="inlineStr">
        <is>
          <t>동구 동명동</t>
        </is>
      </c>
      <c r="E61" s="18" t="inlineStr">
        <is>
          <t>광주광역시 동구 장동로 3 1층</t>
        </is>
      </c>
      <c r="F61" s="19" t="n"/>
      <c r="G61" s="19" t="n"/>
      <c r="H61" s="20" t="inlineStr">
        <is>
          <t>11:30</t>
        </is>
      </c>
      <c r="I61" s="20" t="inlineStr">
        <is>
          <t>22:00</t>
        </is>
      </c>
      <c r="J61" s="17" t="inlineStr">
        <is>
          <t>월</t>
        </is>
      </c>
      <c r="K61" s="17" t="n">
        <v>20</v>
      </c>
      <c r="L61" s="21" t="n"/>
      <c r="M61" s="18" t="inlineStr">
        <is>
          <t>주문제작케이크(가격 없음)</t>
        </is>
      </c>
      <c r="N61" s="17" t="inlineStr">
        <is>
          <t>케이크</t>
        </is>
      </c>
      <c r="O61" s="17" t="n"/>
      <c r="P61" s="17" t="inlineStr">
        <is>
          <t>카페·디저트</t>
        </is>
      </c>
      <c r="Q61" s="17" t="inlineStr">
        <is>
          <t>현대적</t>
        </is>
      </c>
      <c r="R61" s="17" t="inlineStr">
        <is>
          <t>실내</t>
        </is>
      </c>
      <c r="S61" s="17" t="inlineStr">
        <is>
          <t>오전, 오후, 저녁</t>
        </is>
      </c>
      <c r="T61" s="17" t="n"/>
      <c r="U61" s="17" t="n"/>
      <c r="V61" s="18" t="n"/>
      <c r="W61" s="17" t="inlineStr">
        <is>
          <t>Claude(웹 수집)</t>
        </is>
      </c>
      <c r="X61" s="22" t="inlineStr">
        <is>
          <t>2026-10-21</t>
        </is>
      </c>
      <c r="Y61" s="18" t="inlineStr">
        <is>
          <t>https://www.diningcode.com/profile.php?rid=SyPWjpXnnrxk</t>
        </is>
      </c>
      <c r="Z61" s="18" t="inlineStr">
        <is>
          <t>초안(웹 수집). 현장 미확인 / 추정 칸: 머무는 시간·1인 지출·태그·지역 / 영업시간 참고: 일요일은 09:00 시작 / 지출 추정 불가(메뉴 가격 없음) - 직접 입력</t>
        </is>
      </c>
    </row>
    <row r="62">
      <c r="A62" s="16" t="inlineStr">
        <is>
          <t>store_060</t>
        </is>
      </c>
      <c r="B62" s="17" t="inlineStr">
        <is>
          <t>뽀얌과자점</t>
        </is>
      </c>
      <c r="C62" s="17" t="inlineStr">
        <is>
          <t>카페·디저트</t>
        </is>
      </c>
      <c r="D62" s="17" t="inlineStr">
        <is>
          <t>동구 동명동</t>
        </is>
      </c>
      <c r="E62" s="18" t="inlineStr">
        <is>
          <t>광주광역시 동구 동명로98번길 19 1층</t>
        </is>
      </c>
      <c r="F62" s="19" t="n"/>
      <c r="G62" s="19" t="n"/>
      <c r="H62" s="20" t="n"/>
      <c r="I62" s="20" t="n"/>
      <c r="J62" s="17" t="inlineStr">
        <is>
          <t>일,월</t>
        </is>
      </c>
      <c r="K62" s="17" t="n">
        <v>20</v>
      </c>
      <c r="L62" s="21" t="n"/>
      <c r="M62" s="18" t="inlineStr">
        <is>
          <t>고메소금빵(가격 없음)</t>
        </is>
      </c>
      <c r="N62" s="17" t="inlineStr">
        <is>
          <t>베이커리,케이크</t>
        </is>
      </c>
      <c r="O62" s="17" t="n"/>
      <c r="P62" s="17" t="inlineStr">
        <is>
          <t>카페·디저트</t>
        </is>
      </c>
      <c r="Q62" s="17" t="inlineStr">
        <is>
          <t>현대적</t>
        </is>
      </c>
      <c r="R62" s="17" t="inlineStr">
        <is>
          <t>실내</t>
        </is>
      </c>
      <c r="S62" s="17" t="n"/>
      <c r="T62" s="17" t="n"/>
      <c r="U62" s="17" t="n"/>
      <c r="V62" s="18" t="n"/>
      <c r="W62" s="17" t="inlineStr">
        <is>
          <t>Claude(웹 수집)</t>
        </is>
      </c>
      <c r="X62" s="22" t="inlineStr">
        <is>
          <t>2026-10-21</t>
        </is>
      </c>
      <c r="Y62" s="18" t="inlineStr">
        <is>
          <t>https://www.diningcode.com/profile.php?rid=B7J1fhp6gUY7</t>
        </is>
      </c>
      <c r="Z62" s="18" t="inlineStr">
        <is>
          <t>초안(웹 수집). 현장 미확인 / 추정 칸: 머무는 시간·1인 지출·태그·지역 / 영업시간 확인 필요(영업시간 확인 필요) / 휴무 근거: 리뷰 / 지출 추정 불가(메뉴 가격 없음) - 직접 입력</t>
        </is>
      </c>
    </row>
    <row r="63">
      <c r="A63" s="16" t="inlineStr">
        <is>
          <t>store_061</t>
        </is>
      </c>
      <c r="B63" s="17" t="inlineStr">
        <is>
          <t>버터북 광주점</t>
        </is>
      </c>
      <c r="C63" s="17" t="inlineStr">
        <is>
          <t>카페·디저트</t>
        </is>
      </c>
      <c r="D63" s="17" t="inlineStr">
        <is>
          <t>동구 동명동</t>
        </is>
      </c>
      <c r="E63" s="18" t="inlineStr">
        <is>
          <t>광주광역시 동구 동계천로 159-11 1~2층</t>
        </is>
      </c>
      <c r="F63" s="19" t="n"/>
      <c r="G63" s="19" t="n"/>
      <c r="H63" s="20" t="n"/>
      <c r="I63" s="20" t="n"/>
      <c r="J63" s="17" t="n"/>
      <c r="K63" s="17" t="n">
        <v>40</v>
      </c>
      <c r="L63" s="21" t="n">
        <v>4500</v>
      </c>
      <c r="M63" s="18" t="inlineStr">
        <is>
          <t>글레이즈드 링 도넛 2,700 / 카스테라도넛 4,800 / 말차도넛 4,500</t>
        </is>
      </c>
      <c r="N63" s="17" t="inlineStr">
        <is>
          <t>도넛,카페</t>
        </is>
      </c>
      <c r="O63" s="17" t="n"/>
      <c r="P63" s="17" t="inlineStr">
        <is>
          <t>카페·디저트</t>
        </is>
      </c>
      <c r="Q63" s="17" t="inlineStr">
        <is>
          <t>현대적</t>
        </is>
      </c>
      <c r="R63" s="17" t="inlineStr">
        <is>
          <t>실내</t>
        </is>
      </c>
      <c r="S63" s="17" t="n"/>
      <c r="T63" s="17" t="n"/>
      <c r="U63" s="17" t="n"/>
      <c r="V63" s="18" t="n"/>
      <c r="W63" s="17" t="inlineStr">
        <is>
          <t>Claude(웹 수집)</t>
        </is>
      </c>
      <c r="X63" s="22" t="inlineStr">
        <is>
          <t>2026-10-21</t>
        </is>
      </c>
      <c r="Y63" s="18" t="inlineStr">
        <is>
          <t>https://www.diningcode.com/profile.php?rid=s44l75K8MK0A</t>
        </is>
      </c>
      <c r="Z63" s="18" t="inlineStr">
        <is>
          <t>초안(웹 수집). 현장 미확인 / 추정 칸: 머무는 시간·1인 지출·태그·지역 / 영업시간 확인 필요(영업시간 확인 필요)</t>
        </is>
      </c>
    </row>
    <row r="64">
      <c r="A64" s="16" t="inlineStr">
        <is>
          <t>store_062</t>
        </is>
      </c>
      <c r="B64" s="17" t="inlineStr">
        <is>
          <t>포포케이크</t>
        </is>
      </c>
      <c r="C64" s="17" t="inlineStr">
        <is>
          <t>카페·디저트</t>
        </is>
      </c>
      <c r="D64" s="17" t="inlineStr">
        <is>
          <t>동구 대인동</t>
        </is>
      </c>
      <c r="E64" s="18" t="inlineStr">
        <is>
          <t>광주광역시 동구 제봉로98번길 1 1층</t>
        </is>
      </c>
      <c r="F64" s="19" t="n"/>
      <c r="G64" s="19" t="n"/>
      <c r="H64" s="20" t="inlineStr">
        <is>
          <t>08:00</t>
        </is>
      </c>
      <c r="I64" s="20" t="inlineStr">
        <is>
          <t>18:00</t>
        </is>
      </c>
      <c r="J64" s="17" t="n"/>
      <c r="K64" s="17" t="n">
        <v>20</v>
      </c>
      <c r="L64" s="21" t="n"/>
      <c r="M64" s="18" t="inlineStr">
        <is>
          <t>주문제작케이크(가격 없음)</t>
        </is>
      </c>
      <c r="N64" s="17" t="inlineStr">
        <is>
          <t>케이크</t>
        </is>
      </c>
      <c r="O64" s="17" t="n"/>
      <c r="P64" s="17" t="inlineStr">
        <is>
          <t>카페·디저트</t>
        </is>
      </c>
      <c r="Q64" s="17" t="inlineStr">
        <is>
          <t>현대적</t>
        </is>
      </c>
      <c r="R64" s="17" t="inlineStr">
        <is>
          <t>실내</t>
        </is>
      </c>
      <c r="S64" s="17" t="inlineStr">
        <is>
          <t>오전, 오후</t>
        </is>
      </c>
      <c r="T64" s="17" t="n"/>
      <c r="U64" s="17" t="n"/>
      <c r="V64" s="18" t="n"/>
      <c r="W64" s="17" t="inlineStr">
        <is>
          <t>Claude(웹 수집)</t>
        </is>
      </c>
      <c r="X64" s="22" t="inlineStr">
        <is>
          <t>2026-10-21</t>
        </is>
      </c>
      <c r="Y64" s="18" t="inlineStr">
        <is>
          <t>https://www.diningcode.com/profile.php?rid=UVPbYDpN9KRO</t>
        </is>
      </c>
      <c r="Z64" s="18" t="inlineStr">
        <is>
          <t>초안(웹 수집). 현장 미확인 / 추정 칸: 머무는 시간·1인 지출·태그·지역 / 지출 추정 불가(메뉴 가격 없음) - 직접 입력</t>
        </is>
      </c>
    </row>
    <row r="65">
      <c r="A65" s="16" t="inlineStr">
        <is>
          <t>store_063</t>
        </is>
      </c>
      <c r="B65" s="17" t="inlineStr">
        <is>
          <t>AUSMehl(아우스밀)</t>
        </is>
      </c>
      <c r="C65" s="17" t="inlineStr">
        <is>
          <t>카페·디저트</t>
        </is>
      </c>
      <c r="D65" s="17" t="inlineStr">
        <is>
          <t>동구 동명동</t>
        </is>
      </c>
      <c r="E65" s="18" t="inlineStr">
        <is>
          <t>광주광역시 동구 동명로25번길 4-1</t>
        </is>
      </c>
      <c r="F65" s="19" t="n"/>
      <c r="G65" s="19" t="n"/>
      <c r="H65" s="20" t="inlineStr">
        <is>
          <t>12:10</t>
        </is>
      </c>
      <c r="I65" s="20" t="inlineStr">
        <is>
          <t>18:00</t>
        </is>
      </c>
      <c r="J65" s="17" t="n"/>
      <c r="K65" s="17" t="n">
        <v>20</v>
      </c>
      <c r="L65" s="21" t="n">
        <v>9000</v>
      </c>
      <c r="M65" s="18" t="inlineStr">
        <is>
          <t>흑임자구황작물브치 8,900</t>
        </is>
      </c>
      <c r="N65" s="17" t="inlineStr">
        <is>
          <t>베이커리,휘낭시에</t>
        </is>
      </c>
      <c r="O65" s="17" t="n"/>
      <c r="P65" s="17" t="inlineStr">
        <is>
          <t>카페·디저트</t>
        </is>
      </c>
      <c r="Q65" s="17" t="inlineStr">
        <is>
          <t>현대적</t>
        </is>
      </c>
      <c r="R65" s="17" t="inlineStr">
        <is>
          <t>실내</t>
        </is>
      </c>
      <c r="S65" s="17" t="inlineStr">
        <is>
          <t>오후</t>
        </is>
      </c>
      <c r="T65" s="17" t="n"/>
      <c r="U65" s="17" t="n"/>
      <c r="V65" s="18" t="inlineStr">
        <is>
          <t>테이크아웃 전문</t>
        </is>
      </c>
      <c r="W65" s="17" t="inlineStr">
        <is>
          <t>Claude(웹 수집)</t>
        </is>
      </c>
      <c r="X65" s="22" t="inlineStr">
        <is>
          <t>2026-10-21</t>
        </is>
      </c>
      <c r="Y65" s="18" t="inlineStr">
        <is>
          <t>https://www.diningcode.com/profile.php?rid=Gk0r7tuiy3iY</t>
        </is>
      </c>
      <c r="Z65" s="18" t="inlineStr">
        <is>
          <t>초안(웹 수집). 현장 미확인 / 추정 칸: 머무는 시간·1인 지출·태그·지역 / 휴무 확인 필요(목,월,화 휴무 표시)</t>
        </is>
      </c>
    </row>
    <row r="66">
      <c r="A66" s="16" t="inlineStr">
        <is>
          <t>store_064</t>
        </is>
      </c>
      <c r="B66" s="17" t="inlineStr">
        <is>
          <t>스케치</t>
        </is>
      </c>
      <c r="C66" s="17" t="inlineStr">
        <is>
          <t>카페·디저트</t>
        </is>
      </c>
      <c r="D66" s="17" t="inlineStr">
        <is>
          <t>동구 동명동</t>
        </is>
      </c>
      <c r="E66" s="18" t="inlineStr">
        <is>
          <t>광주광역시 동구 동계천로95번길 20-1</t>
        </is>
      </c>
      <c r="F66" s="19" t="n"/>
      <c r="G66" s="19" t="n"/>
      <c r="H66" s="20" t="inlineStr">
        <is>
          <t>08:00</t>
        </is>
      </c>
      <c r="I66" s="20" t="inlineStr">
        <is>
          <t>23:00</t>
        </is>
      </c>
      <c r="J66" s="17" t="n"/>
      <c r="K66" s="17" t="n">
        <v>60</v>
      </c>
      <c r="L66" s="21" t="n">
        <v>5500</v>
      </c>
      <c r="M66" s="18" t="inlineStr">
        <is>
          <t>당근라페바게트 7,800 / 잠봉뵈르바게트 8,500 / 소금빵 3,200 / 카이막 7,500</t>
        </is>
      </c>
      <c r="N66" s="17" t="inlineStr">
        <is>
          <t>카페,베이커리</t>
        </is>
      </c>
      <c r="O66" s="17" t="n"/>
      <c r="P66" s="17" t="inlineStr">
        <is>
          <t>카페·디저트</t>
        </is>
      </c>
      <c r="Q66" s="17" t="inlineStr">
        <is>
          <t>현대적</t>
        </is>
      </c>
      <c r="R66" s="17" t="inlineStr">
        <is>
          <t>실내</t>
        </is>
      </c>
      <c r="S66" s="17" t="inlineStr">
        <is>
          <t>오전, 오후, 저녁, 밤</t>
        </is>
      </c>
      <c r="T66" s="17" t="n"/>
      <c r="U66" s="17" t="n"/>
      <c r="V66" s="18" t="n"/>
      <c r="W66" s="17" t="inlineStr">
        <is>
          <t>Claude(웹 수집)</t>
        </is>
      </c>
      <c r="X66" s="22" t="inlineStr">
        <is>
          <t>2026-10-21</t>
        </is>
      </c>
      <c r="Y66" s="18" t="inlineStr">
        <is>
          <t>https://www.diningcode.com/profile.php?rid=293k5cXkpDYW</t>
        </is>
      </c>
      <c r="Z66" s="18" t="inlineStr">
        <is>
          <t>초안(웹 수집). 현장 미확인 / 추정 칸: 머무는 시간·1인 지출·태그·지역</t>
        </is>
      </c>
    </row>
    <row r="67">
      <c r="A67" s="16" t="inlineStr">
        <is>
          <t>store_065</t>
        </is>
      </c>
      <c r="B67" s="17" t="inlineStr">
        <is>
          <t>멜크</t>
        </is>
      </c>
      <c r="C67" s="17" t="inlineStr">
        <is>
          <t>카페·디저트</t>
        </is>
      </c>
      <c r="D67" s="17" t="inlineStr">
        <is>
          <t>동구 동명동</t>
        </is>
      </c>
      <c r="E67" s="18" t="inlineStr">
        <is>
          <t>광주광역시 동구 동명로14번길 19-8 1층</t>
        </is>
      </c>
      <c r="F67" s="19" t="n"/>
      <c r="G67" s="19" t="n"/>
      <c r="H67" s="20" t="inlineStr">
        <is>
          <t>12:00</t>
        </is>
      </c>
      <c r="I67" s="20" t="inlineStr">
        <is>
          <t>20:00</t>
        </is>
      </c>
      <c r="J67" s="17" t="inlineStr">
        <is>
          <t>월</t>
        </is>
      </c>
      <c r="K67" s="17" t="n">
        <v>40</v>
      </c>
      <c r="L67" s="21" t="n">
        <v>6000</v>
      </c>
      <c r="M67" s="18" t="inlineStr">
        <is>
          <t>제주 호우지차 밀크티 8,000 / 넛츠크림라떼 7,000 / 블루베리 크림치즈 모찌 4,500</t>
        </is>
      </c>
      <c r="N67" s="17" t="inlineStr">
        <is>
          <t>디저트,빙수</t>
        </is>
      </c>
      <c r="O67" s="17" t="n"/>
      <c r="P67" s="17" t="inlineStr">
        <is>
          <t>카페·디저트</t>
        </is>
      </c>
      <c r="Q67" s="17" t="inlineStr">
        <is>
          <t>감성적</t>
        </is>
      </c>
      <c r="R67" s="17" t="inlineStr">
        <is>
          <t>실내</t>
        </is>
      </c>
      <c r="S67" s="17" t="inlineStr">
        <is>
          <t>오후, 저녁</t>
        </is>
      </c>
      <c r="T67" s="17" t="n"/>
      <c r="U67" s="17" t="n"/>
      <c r="V67" s="18" t="inlineStr">
        <is>
          <t>크리스마스 콘셉트</t>
        </is>
      </c>
      <c r="W67" s="17" t="inlineStr">
        <is>
          <t>Claude(웹 수집)</t>
        </is>
      </c>
      <c r="X67" s="22" t="inlineStr">
        <is>
          <t>2026-10-21</t>
        </is>
      </c>
      <c r="Y67" s="18" t="inlineStr">
        <is>
          <t>https://www.diningcode.com/profile.php?rid=ppy3QsvghfSM</t>
        </is>
      </c>
      <c r="Z67" s="18" t="inlineStr">
        <is>
          <t>초안(웹 수집). 현장 미확인 / 추정 칸: 머무는 시간·1인 지출·태그·지역</t>
        </is>
      </c>
    </row>
    <row r="68">
      <c r="A68" s="16" t="inlineStr">
        <is>
          <t>store_066</t>
        </is>
      </c>
      <c r="B68" s="17" t="inlineStr">
        <is>
          <t>티앗</t>
        </is>
      </c>
      <c r="C68" s="17" t="inlineStr">
        <is>
          <t>카페·디저트</t>
        </is>
      </c>
      <c r="D68" s="17" t="inlineStr">
        <is>
          <t>동구 동명동</t>
        </is>
      </c>
      <c r="E68" s="18" t="inlineStr">
        <is>
          <t>광주광역시 동구 동명로14번길 12</t>
        </is>
      </c>
      <c r="F68" s="19" t="n"/>
      <c r="G68" s="19" t="n"/>
      <c r="H68" s="20" t="inlineStr">
        <is>
          <t>12:00</t>
        </is>
      </c>
      <c r="I68" s="20" t="inlineStr">
        <is>
          <t>22:00</t>
        </is>
      </c>
      <c r="J68" s="17" t="n"/>
      <c r="K68" s="17" t="n">
        <v>60</v>
      </c>
      <c r="L68" s="21" t="n">
        <v>6000</v>
      </c>
      <c r="M68" s="18" t="inlineStr">
        <is>
          <t>자스민 홍차 6,500 / 티앗밀크티 6,000 / 민포가토 6,000</t>
        </is>
      </c>
      <c r="N68" s="17" t="inlineStr">
        <is>
          <t>밀크티,홍차</t>
        </is>
      </c>
      <c r="O68" s="17" t="n"/>
      <c r="P68" s="17" t="inlineStr">
        <is>
          <t>카페·디저트</t>
        </is>
      </c>
      <c r="Q68" s="17" t="inlineStr">
        <is>
          <t>현대적</t>
        </is>
      </c>
      <c r="R68" s="17" t="inlineStr">
        <is>
          <t>실내</t>
        </is>
      </c>
      <c r="S68" s="17" t="inlineStr">
        <is>
          <t>오후, 저녁</t>
        </is>
      </c>
      <c r="T68" s="17" t="n"/>
      <c r="U68" s="17" t="n"/>
      <c r="V68" s="18" t="inlineStr">
        <is>
          <t>2층 좌식</t>
        </is>
      </c>
      <c r="W68" s="17" t="inlineStr">
        <is>
          <t>Claude(웹 수집)</t>
        </is>
      </c>
      <c r="X68" s="22" t="inlineStr">
        <is>
          <t>2026-10-21</t>
        </is>
      </c>
      <c r="Y68" s="18" t="inlineStr">
        <is>
          <t>https://www.diningcode.com/profile.php?rid=XCROduF5eXos</t>
        </is>
      </c>
      <c r="Z68" s="18" t="inlineStr">
        <is>
          <t>초안(웹 수집). 현장 미확인 / 추정 칸: 머무는 시간·1인 지출·태그·지역 / 라스트오더 21:40</t>
        </is>
      </c>
    </row>
    <row r="69">
      <c r="A69" s="16" t="inlineStr">
        <is>
          <t>store_067</t>
        </is>
      </c>
      <c r="B69" s="17" t="inlineStr">
        <is>
          <t>소뇨</t>
        </is>
      </c>
      <c r="C69" s="17" t="inlineStr">
        <is>
          <t>카페·디저트</t>
        </is>
      </c>
      <c r="D69" s="17" t="inlineStr">
        <is>
          <t>동구 동명동</t>
        </is>
      </c>
      <c r="E69" s="18" t="inlineStr">
        <is>
          <t>광주광역시 동구 장동로 19-3</t>
        </is>
      </c>
      <c r="F69" s="19" t="n"/>
      <c r="G69" s="19" t="n"/>
      <c r="H69" s="20" t="inlineStr">
        <is>
          <t>12:00</t>
        </is>
      </c>
      <c r="I69" s="20" t="inlineStr">
        <is>
          <t>21:50</t>
        </is>
      </c>
      <c r="J69" s="17" t="n"/>
      <c r="K69" s="17" t="n">
        <v>40</v>
      </c>
      <c r="L69" s="21" t="n">
        <v>11000</v>
      </c>
      <c r="M69" s="18" t="inlineStr">
        <is>
          <t>우유빙수 10,500 / 오레오 빙수 12,000 / 파인애플빙수 17,500</t>
        </is>
      </c>
      <c r="N69" s="17" t="inlineStr">
        <is>
          <t>빙수</t>
        </is>
      </c>
      <c r="O69" s="17" t="n"/>
      <c r="P69" s="17" t="inlineStr">
        <is>
          <t>카페·디저트</t>
        </is>
      </c>
      <c r="Q69" s="17" t="inlineStr">
        <is>
          <t>현대적</t>
        </is>
      </c>
      <c r="R69" s="17" t="inlineStr">
        <is>
          <t>실내</t>
        </is>
      </c>
      <c r="S69" s="17" t="inlineStr">
        <is>
          <t>오후, 저녁</t>
        </is>
      </c>
      <c r="T69" s="17" t="n"/>
      <c r="U69" s="17" t="n"/>
      <c r="V69" s="18" t="n"/>
      <c r="W69" s="17" t="inlineStr">
        <is>
          <t>Claude(웹 수집)</t>
        </is>
      </c>
      <c r="X69" s="22" t="inlineStr">
        <is>
          <t>2026-10-21</t>
        </is>
      </c>
      <c r="Y69" s="18" t="inlineStr">
        <is>
          <t>https://www.diningcode.com/profile.php?rid=EsjWP2BwJqtC</t>
        </is>
      </c>
      <c r="Z69" s="18" t="inlineStr">
        <is>
          <t>초안(웹 수집). 현장 미확인 / 추정 칸: 머무는 시간·1인 지출·태그·지역 / 라스트오더 21:10</t>
        </is>
      </c>
    </row>
    <row r="70">
      <c r="A70" s="16" t="inlineStr">
        <is>
          <t>store_068</t>
        </is>
      </c>
      <c r="B70" s="17" t="inlineStr">
        <is>
          <t>동명당</t>
        </is>
      </c>
      <c r="C70" s="17" t="inlineStr">
        <is>
          <t>카페·디저트</t>
        </is>
      </c>
      <c r="D70" s="17" t="inlineStr">
        <is>
          <t>동구 동명동</t>
        </is>
      </c>
      <c r="E70" s="18" t="inlineStr">
        <is>
          <t>광주광역시 동구 장동로 23-41 1층</t>
        </is>
      </c>
      <c r="F70" s="19" t="n"/>
      <c r="G70" s="19" t="n"/>
      <c r="H70" s="20" t="inlineStr">
        <is>
          <t>11:00</t>
        </is>
      </c>
      <c r="I70" s="20" t="inlineStr">
        <is>
          <t>20:00</t>
        </is>
      </c>
      <c r="J70" s="17" t="n"/>
      <c r="K70" s="17" t="n">
        <v>40</v>
      </c>
      <c r="L70" s="21" t="n">
        <v>4500</v>
      </c>
      <c r="M70" s="18" t="inlineStr">
        <is>
          <t>두쫀쿠 4,000 / 생초콜릿 5,000 / 오랑제뜨 15,000</t>
        </is>
      </c>
      <c r="N70" s="17" t="inlineStr">
        <is>
          <t>수제초콜릿</t>
        </is>
      </c>
      <c r="O70" s="17" t="n"/>
      <c r="P70" s="17" t="inlineStr">
        <is>
          <t>카페·디저트</t>
        </is>
      </c>
      <c r="Q70" s="17" t="inlineStr">
        <is>
          <t>현대적</t>
        </is>
      </c>
      <c r="R70" s="17" t="inlineStr">
        <is>
          <t>실내</t>
        </is>
      </c>
      <c r="S70" s="17" t="inlineStr">
        <is>
          <t>오전, 오후, 저녁</t>
        </is>
      </c>
      <c r="T70" s="17" t="n"/>
      <c r="U70" s="17" t="n"/>
      <c r="V70" s="18" t="inlineStr">
        <is>
          <t>선물세트</t>
        </is>
      </c>
      <c r="W70" s="17" t="inlineStr">
        <is>
          <t>Claude(웹 수집)</t>
        </is>
      </c>
      <c r="X70" s="22" t="inlineStr">
        <is>
          <t>2026-10-21</t>
        </is>
      </c>
      <c r="Y70" s="18" t="inlineStr">
        <is>
          <t>https://www.diningcode.com/profile.php?rid=3NGZNOlf6YK4</t>
        </is>
      </c>
      <c r="Z70" s="18" t="inlineStr">
        <is>
          <t>초안(웹 수집). 현장 미확인 / 추정 칸: 머무는 시간·1인 지출·태그·지역 / 휴무 확인 필요(확인필요)</t>
        </is>
      </c>
    </row>
    <row r="71">
      <c r="A71" s="16" t="inlineStr">
        <is>
          <t>store_069</t>
        </is>
      </c>
      <c r="B71" s="17" t="inlineStr">
        <is>
          <t>츄룹</t>
        </is>
      </c>
      <c r="C71" s="17" t="inlineStr">
        <is>
          <t>카페·디저트</t>
        </is>
      </c>
      <c r="D71" s="17" t="inlineStr">
        <is>
          <t>동구 광산동</t>
        </is>
      </c>
      <c r="E71" s="18" t="inlineStr">
        <is>
          <t>광주광역시 동구 문화전당로35번길 3 1층</t>
        </is>
      </c>
      <c r="F71" s="19" t="n"/>
      <c r="G71" s="19" t="n"/>
      <c r="H71" s="20" t="inlineStr">
        <is>
          <t>12:00</t>
        </is>
      </c>
      <c r="I71" s="20" t="inlineStr">
        <is>
          <t>23:00</t>
        </is>
      </c>
      <c r="J71" s="17" t="inlineStr">
        <is>
          <t>월</t>
        </is>
      </c>
      <c r="K71" s="17" t="n">
        <v>40</v>
      </c>
      <c r="L71" s="21" t="n">
        <v>6000</v>
      </c>
      <c r="M71" s="18" t="inlineStr">
        <is>
          <t>1컵 두가지맛 4,500 / 세가지맛 8,000 / 아메리카노 2,500</t>
        </is>
      </c>
      <c r="N71" s="17" t="inlineStr">
        <is>
          <t>젤라또</t>
        </is>
      </c>
      <c r="O71" s="17" t="n"/>
      <c r="P71" s="17" t="inlineStr">
        <is>
          <t>카페·디저트</t>
        </is>
      </c>
      <c r="Q71" s="17" t="inlineStr">
        <is>
          <t>현대적</t>
        </is>
      </c>
      <c r="R71" s="17" t="inlineStr">
        <is>
          <t>실내</t>
        </is>
      </c>
      <c r="S71" s="17" t="inlineStr">
        <is>
          <t>오후, 저녁, 밤</t>
        </is>
      </c>
      <c r="T71" s="17" t="n"/>
      <c r="U71" s="17" t="n"/>
      <c r="V71" s="18" t="n"/>
      <c r="W71" s="17" t="inlineStr">
        <is>
          <t>Claude(웹 수집)</t>
        </is>
      </c>
      <c r="X71" s="22" t="inlineStr">
        <is>
          <t>2026-10-21</t>
        </is>
      </c>
      <c r="Y71" s="18" t="inlineStr">
        <is>
          <t>https://www.diningcode.com/profile.php?rid=yZ69XI01egpY</t>
        </is>
      </c>
      <c r="Z71" s="18" t="inlineStr">
        <is>
          <t>초안(웹 수집). 현장 미확인 / 추정 칸: 머무는 시간·1인 지출·태그·지역 / 휴무 근거: 블로그</t>
        </is>
      </c>
    </row>
    <row r="72">
      <c r="A72" s="16" t="inlineStr">
        <is>
          <t>store_070</t>
        </is>
      </c>
      <c r="B72" s="17" t="inlineStr">
        <is>
          <t>동국</t>
        </is>
      </c>
      <c r="C72" s="17" t="inlineStr">
        <is>
          <t>식당</t>
        </is>
      </c>
      <c r="D72" s="17" t="inlineStr">
        <is>
          <t>동구 동명동</t>
        </is>
      </c>
      <c r="E72" s="18" t="inlineStr">
        <is>
          <t>광주광역시 동구 동명로 52 1층</t>
        </is>
      </c>
      <c r="F72" s="19" t="n"/>
      <c r="G72" s="19" t="n"/>
      <c r="H72" s="20" t="inlineStr">
        <is>
          <t>11:30</t>
        </is>
      </c>
      <c r="I72" s="20" t="inlineStr">
        <is>
          <t>20:30</t>
        </is>
      </c>
      <c r="J72" s="17" t="inlineStr">
        <is>
          <t>월</t>
        </is>
      </c>
      <c r="K72" s="17" t="n">
        <v>40</v>
      </c>
      <c r="L72" s="21" t="n">
        <v>11000</v>
      </c>
      <c r="M72" s="18" t="inlineStr">
        <is>
          <t>맑은거 11,000 / 허연거 11,000 / 뻘건거 11,000</t>
        </is>
      </c>
      <c r="N72" s="17" t="inlineStr">
        <is>
          <t>국밥</t>
        </is>
      </c>
      <c r="O72" s="17" t="n"/>
      <c r="P72" s="17" t="inlineStr">
        <is>
          <t>식사</t>
        </is>
      </c>
      <c r="Q72" s="17" t="inlineStr">
        <is>
          <t>서민적</t>
        </is>
      </c>
      <c r="R72" s="17" t="inlineStr">
        <is>
          <t>실내</t>
        </is>
      </c>
      <c r="S72" s="17" t="inlineStr">
        <is>
          <t>오전, 오후, 저녁</t>
        </is>
      </c>
      <c r="T72" s="17" t="n"/>
      <c r="U72" s="17" t="n"/>
      <c r="V72" s="18" t="inlineStr">
        <is>
          <t>반려동물 동반 가능</t>
        </is>
      </c>
      <c r="W72" s="17" t="inlineStr">
        <is>
          <t>Claude(웹 수집)</t>
        </is>
      </c>
      <c r="X72" s="22" t="inlineStr">
        <is>
          <t>2026-10-21</t>
        </is>
      </c>
      <c r="Y72" s="18" t="inlineStr">
        <is>
          <t>https://www.diningcode.com/profile.php?rid=OzYZiP60D5rL</t>
        </is>
      </c>
      <c r="Z72" s="18" t="inlineStr">
        <is>
          <t>초안(웹 수집). 현장 미확인 / 추정 칸: 머무는 시간·1인 지출·태그·지역 / 브레이크타임 15:30-17:00 / 라스트오더 15:00,20:00 / 휴무 근거: 블로그</t>
        </is>
      </c>
    </row>
    <row r="73">
      <c r="A73" s="16" t="inlineStr">
        <is>
          <t>store_071</t>
        </is>
      </c>
      <c r="B73" s="17" t="inlineStr">
        <is>
          <t>프랭크커핀바 동명점</t>
        </is>
      </c>
      <c r="C73" s="17" t="inlineStr">
        <is>
          <t>카페·디저트</t>
        </is>
      </c>
      <c r="D73" s="17" t="inlineStr">
        <is>
          <t>동구 동명동</t>
        </is>
      </c>
      <c r="E73" s="18" t="inlineStr">
        <is>
          <t>광주 동구 동명로14번길 15</t>
        </is>
      </c>
      <c r="F73" s="19" t="n"/>
      <c r="G73" s="19" t="n"/>
      <c r="H73" s="20" t="inlineStr">
        <is>
          <t>11:00</t>
        </is>
      </c>
      <c r="I73" s="20" t="inlineStr">
        <is>
          <t>22:00</t>
        </is>
      </c>
      <c r="J73" s="17" t="n"/>
      <c r="K73" s="17" t="n">
        <v>60</v>
      </c>
      <c r="L73" s="21" t="n"/>
      <c r="M73" s="18" t="inlineStr">
        <is>
          <t>(가격 없음)</t>
        </is>
      </c>
      <c r="N73" s="17" t="inlineStr">
        <is>
          <t>카페,크로플</t>
        </is>
      </c>
      <c r="O73" s="17" t="n"/>
      <c r="P73" s="17" t="inlineStr">
        <is>
          <t>카페·디저트</t>
        </is>
      </c>
      <c r="Q73" s="17" t="inlineStr">
        <is>
          <t>현대적</t>
        </is>
      </c>
      <c r="R73" s="17" t="inlineStr">
        <is>
          <t>실내</t>
        </is>
      </c>
      <c r="S73" s="17" t="inlineStr">
        <is>
          <t>오전, 오후, 저녁</t>
        </is>
      </c>
      <c r="T73" s="17" t="n"/>
      <c r="U73" s="17" t="n"/>
      <c r="V73" s="18" t="inlineStr">
        <is>
          <t>우드 빈티지</t>
        </is>
      </c>
      <c r="W73" s="17" t="inlineStr">
        <is>
          <t>Claude(웹 수집)</t>
        </is>
      </c>
      <c r="X73" s="22" t="inlineStr">
        <is>
          <t>2026-10-21</t>
        </is>
      </c>
      <c r="Y73" s="18" t="inlineStr">
        <is>
          <t>https://kr.trip.com/moments/poi-dongmyeong-dong-cafe-street-62023085/</t>
        </is>
      </c>
      <c r="Z73" s="18" t="inlineStr">
        <is>
          <t>초안(웹 수집). 현장 미확인 / 추정 칸: 머무는 시간·1인 지출·태그·지역 / 라스트오더 21:30 / 지출 추정 불가(메뉴 가격 없음) - 직접 입력</t>
        </is>
      </c>
    </row>
    <row r="74">
      <c r="A74" s="16" t="inlineStr">
        <is>
          <t>store_072</t>
        </is>
      </c>
      <c r="B74" s="17" t="inlineStr">
        <is>
          <t>일다</t>
        </is>
      </c>
      <c r="C74" s="17" t="inlineStr">
        <is>
          <t>카페·디저트</t>
        </is>
      </c>
      <c r="D74" s="17" t="inlineStr">
        <is>
          <t>동구 동명동</t>
        </is>
      </c>
      <c r="E74" s="18" t="inlineStr">
        <is>
          <t>광주 동구 동계천로 159-10</t>
        </is>
      </c>
      <c r="F74" s="19" t="n"/>
      <c r="G74" s="19" t="n"/>
      <c r="H74" s="20" t="inlineStr">
        <is>
          <t>12:00</t>
        </is>
      </c>
      <c r="I74" s="20" t="inlineStr">
        <is>
          <t>22:30</t>
        </is>
      </c>
      <c r="J74" s="17" t="n"/>
      <c r="K74" s="17" t="n">
        <v>60</v>
      </c>
      <c r="L74" s="21" t="n">
        <v>6500</v>
      </c>
      <c r="M74" s="18" t="inlineStr">
        <is>
          <t>할매밀크티 6,500 / 500일의 썸머 6,500</t>
        </is>
      </c>
      <c r="N74" s="17" t="inlineStr">
        <is>
          <t>레트로 카페</t>
        </is>
      </c>
      <c r="O74" s="17" t="n"/>
      <c r="P74" s="17" t="inlineStr">
        <is>
          <t>카페·디저트</t>
        </is>
      </c>
      <c r="Q74" s="17" t="inlineStr">
        <is>
          <t>감성적, 레트로</t>
        </is>
      </c>
      <c r="R74" s="17" t="inlineStr">
        <is>
          <t>실내</t>
        </is>
      </c>
      <c r="S74" s="17" t="inlineStr">
        <is>
          <t>오후, 저녁, 밤</t>
        </is>
      </c>
      <c r="T74" s="17" t="n"/>
      <c r="U74" s="17" t="n"/>
      <c r="V74" s="18" t="inlineStr">
        <is>
          <t>주택 개조, 노키즈·노펫</t>
        </is>
      </c>
      <c r="W74" s="17" t="inlineStr">
        <is>
          <t>Claude(웹 수집)</t>
        </is>
      </c>
      <c r="X74" s="22" t="inlineStr">
        <is>
          <t>2026-10-21</t>
        </is>
      </c>
      <c r="Y74" s="18" t="inlineStr">
        <is>
          <t>https://kr.trip.com/moments/poi-dongmyeong-dong-cafe-street-62023085/</t>
        </is>
      </c>
      <c r="Z74" s="18" t="inlineStr">
        <is>
          <t>초안(웹 수집). 현장 미확인 / 추정 칸: 머무는 시간·1인 지출·태그·지역</t>
        </is>
      </c>
    </row>
    <row r="75">
      <c r="A75" s="16" t="inlineStr">
        <is>
          <t>store_073</t>
        </is>
      </c>
      <c r="B75" s="17" t="inlineStr">
        <is>
          <t>티소하</t>
        </is>
      </c>
      <c r="C75" s="17" t="inlineStr">
        <is>
          <t>카페·디저트</t>
        </is>
      </c>
      <c r="D75" s="17" t="inlineStr">
        <is>
          <t>동구 동명동</t>
        </is>
      </c>
      <c r="E75" s="18" t="inlineStr">
        <is>
          <t>광주 동구 동계천로 151-17 엘림 2동</t>
        </is>
      </c>
      <c r="F75" s="19" t="n"/>
      <c r="G75" s="19" t="n"/>
      <c r="H75" s="20" t="inlineStr">
        <is>
          <t>12:00</t>
        </is>
      </c>
      <c r="I75" s="20" t="inlineStr">
        <is>
          <t>21:00</t>
        </is>
      </c>
      <c r="J75" s="17" t="inlineStr">
        <is>
          <t>월</t>
        </is>
      </c>
      <c r="K75" s="17" t="n">
        <v>60</v>
      </c>
      <c r="L75" s="21" t="n"/>
      <c r="M75" s="18" t="inlineStr">
        <is>
          <t>(가격 없음)</t>
        </is>
      </c>
      <c r="N75" s="17" t="inlineStr">
        <is>
          <t>전통 차 카페</t>
        </is>
      </c>
      <c r="O75" s="17" t="n"/>
      <c r="P75" s="17" t="inlineStr">
        <is>
          <t>카페·디저트</t>
        </is>
      </c>
      <c r="Q75" s="17" t="inlineStr">
        <is>
          <t>현대적</t>
        </is>
      </c>
      <c r="R75" s="17" t="inlineStr">
        <is>
          <t>실내</t>
        </is>
      </c>
      <c r="S75" s="17" t="inlineStr">
        <is>
          <t>오후, 저녁</t>
        </is>
      </c>
      <c r="T75" s="17" t="n"/>
      <c r="U75" s="17" t="n"/>
      <c r="V75" s="18" t="inlineStr">
        <is>
          <t>한국식 디저트</t>
        </is>
      </c>
      <c r="W75" s="17" t="inlineStr">
        <is>
          <t>Claude(웹 수집)</t>
        </is>
      </c>
      <c r="X75" s="22" t="inlineStr">
        <is>
          <t>2026-10-21</t>
        </is>
      </c>
      <c r="Y75" s="18" t="inlineStr">
        <is>
          <t>https://kr.trip.com/moments/poi-dongmyeong-dong-cafe-street-62023085/</t>
        </is>
      </c>
      <c r="Z75" s="18" t="inlineStr">
        <is>
          <t>초안(웹 수집). 현장 미확인 / 추정 칸: 머무는 시간·1인 지출·태그·지역 / 지출 추정 불가(메뉴 가격 없음) - 직접 입력</t>
        </is>
      </c>
    </row>
    <row r="76">
      <c r="A76" s="16" t="inlineStr">
        <is>
          <t>store_074</t>
        </is>
      </c>
      <c r="B76" s="17" t="inlineStr">
        <is>
          <t>본투비버거</t>
        </is>
      </c>
      <c r="C76" s="17" t="inlineStr">
        <is>
          <t>식당</t>
        </is>
      </c>
      <c r="D76" s="17" t="inlineStr">
        <is>
          <t>동구 동명동</t>
        </is>
      </c>
      <c r="E76" s="18" t="inlineStr">
        <is>
          <t>광주 동구 동명로 37-1</t>
        </is>
      </c>
      <c r="F76" s="19" t="n"/>
      <c r="G76" s="19" t="n"/>
      <c r="H76" s="20" t="n"/>
      <c r="I76" s="20" t="n"/>
      <c r="J76" s="17" t="n"/>
      <c r="K76" s="17" t="n">
        <v>60</v>
      </c>
      <c r="L76" s="21" t="n">
        <v>12000</v>
      </c>
      <c r="M76" s="18" t="inlineStr">
        <is>
          <t>1인 평균 12,000</t>
        </is>
      </c>
      <c r="N76" s="17" t="inlineStr">
        <is>
          <t>수제버거</t>
        </is>
      </c>
      <c r="O76" s="17" t="n"/>
      <c r="P76" s="17" t="inlineStr">
        <is>
          <t>식사</t>
        </is>
      </c>
      <c r="Q76" s="17" t="inlineStr">
        <is>
          <t>현대적</t>
        </is>
      </c>
      <c r="R76" s="17" t="inlineStr">
        <is>
          <t>실내</t>
        </is>
      </c>
      <c r="S76" s="17" t="n"/>
      <c r="T76" s="17" t="n"/>
      <c r="U76" s="17" t="n"/>
      <c r="V76" s="18" t="n"/>
      <c r="W76" s="17" t="inlineStr">
        <is>
          <t>Claude(웹 수집)</t>
        </is>
      </c>
      <c r="X76" s="22" t="inlineStr">
        <is>
          <t>2026-10-21</t>
        </is>
      </c>
      <c r="Y76" s="18" t="inlineStr">
        <is>
          <t>https://kr.trip.com/moments/poi-dongmyeong-dong-cafe-street-62023085/</t>
        </is>
      </c>
      <c r="Z76" s="18" t="inlineStr">
        <is>
          <t>초안(웹 수집). 현장 미확인 / 추정 칸: 머무는 시간·1인 지출·태그·지역 / 영업시간 확인 필요(영업시간 없음)</t>
        </is>
      </c>
    </row>
    <row r="77">
      <c r="A77" s="16" t="inlineStr">
        <is>
          <t>store_075</t>
        </is>
      </c>
      <c r="B77" s="17" t="inlineStr">
        <is>
          <t>카패동심</t>
        </is>
      </c>
      <c r="C77" s="17" t="inlineStr">
        <is>
          <t>카페·디저트</t>
        </is>
      </c>
      <c r="D77" s="17" t="inlineStr">
        <is>
          <t>동구 동명동</t>
        </is>
      </c>
      <c r="E77" s="18" t="inlineStr">
        <is>
          <t>광주 동구 동명로25번길 7-2 1,2층</t>
        </is>
      </c>
      <c r="F77" s="19" t="n"/>
      <c r="G77" s="19" t="n"/>
      <c r="H77" s="20" t="inlineStr">
        <is>
          <t>12:00</t>
        </is>
      </c>
      <c r="I77" s="20" t="inlineStr">
        <is>
          <t>22:00</t>
        </is>
      </c>
      <c r="J77" s="17" t="n"/>
      <c r="K77" s="17" t="n">
        <v>60</v>
      </c>
      <c r="L77" s="21" t="n"/>
      <c r="M77" s="18" t="inlineStr">
        <is>
          <t>(음료 가격 없음)</t>
        </is>
      </c>
      <c r="N77" s="17" t="inlineStr">
        <is>
          <t>그림 카페</t>
        </is>
      </c>
      <c r="O77" s="17" t="n"/>
      <c r="P77" s="17" t="inlineStr">
        <is>
          <t>카페·디저트</t>
        </is>
      </c>
      <c r="Q77" s="17" t="inlineStr">
        <is>
          <t>현대적</t>
        </is>
      </c>
      <c r="R77" s="17" t="inlineStr">
        <is>
          <t>실내</t>
        </is>
      </c>
      <c r="S77" s="17" t="inlineStr">
        <is>
          <t>오후, 저녁</t>
        </is>
      </c>
      <c r="T77" s="17" t="n"/>
      <c r="U77" s="17" t="n"/>
      <c r="V77" s="18" t="inlineStr">
        <is>
          <t>색연필 무료 대여</t>
        </is>
      </c>
      <c r="W77" s="17" t="inlineStr">
        <is>
          <t>Claude(웹 수집)</t>
        </is>
      </c>
      <c r="X77" s="22" t="inlineStr">
        <is>
          <t>2026-10-21</t>
        </is>
      </c>
      <c r="Y77" s="18" t="inlineStr">
        <is>
          <t>https://kr.trip.com/moments/poi-dongmyeong-dong-cafe-street-62023085/</t>
        </is>
      </c>
      <c r="Z77" s="18" t="inlineStr">
        <is>
          <t>초안(웹 수집). 현장 미확인 / 추정 칸: 머무는 시간·1인 지출·태그·지역 / 지출 추정 불가(메뉴 가격 없음) - 직접 입력</t>
        </is>
      </c>
    </row>
    <row r="78">
      <c r="A78" s="16" t="inlineStr">
        <is>
          <t>store_076</t>
        </is>
      </c>
      <c r="B78" s="17" t="inlineStr">
        <is>
          <t>고망고 광주충장로점</t>
        </is>
      </c>
      <c r="C78" s="17" t="inlineStr">
        <is>
          <t>카페·디저트</t>
        </is>
      </c>
      <c r="D78" s="17" t="inlineStr">
        <is>
          <t>동구 충장로</t>
        </is>
      </c>
      <c r="E78" s="18" t="inlineStr">
        <is>
          <t>광주광역시 동구 충장로 94-9 1층</t>
        </is>
      </c>
      <c r="F78" s="19" t="n"/>
      <c r="G78" s="19" t="n"/>
      <c r="H78" s="20" t="inlineStr">
        <is>
          <t>11:00</t>
        </is>
      </c>
      <c r="I78" s="20" t="inlineStr">
        <is>
          <t>21:00</t>
        </is>
      </c>
      <c r="J78" s="17" t="n"/>
      <c r="K78" s="17" t="n">
        <v>20</v>
      </c>
      <c r="L78" s="21" t="n">
        <v>4000</v>
      </c>
      <c r="M78" s="18" t="inlineStr">
        <is>
          <t>망고스트로베리(XL) 4,200 / 망딸바 5,500 / 망고라떼(XL) 3,500</t>
        </is>
      </c>
      <c r="N78" s="17" t="inlineStr">
        <is>
          <t>디저트,망고</t>
        </is>
      </c>
      <c r="O78" s="17" t="n"/>
      <c r="P78" s="17" t="inlineStr">
        <is>
          <t>카페·디저트</t>
        </is>
      </c>
      <c r="Q78" s="17" t="inlineStr">
        <is>
          <t>현대적</t>
        </is>
      </c>
      <c r="R78" s="17" t="inlineStr">
        <is>
          <t>실내</t>
        </is>
      </c>
      <c r="S78" s="17" t="inlineStr">
        <is>
          <t>오전, 오후, 저녁</t>
        </is>
      </c>
      <c r="T78" s="17" t="n"/>
      <c r="U78" s="17" t="n"/>
      <c r="V78" s="18" t="inlineStr">
        <is>
          <t>프랜차이즈 추정(확인필요),테이크아웃</t>
        </is>
      </c>
      <c r="W78" s="17" t="inlineStr">
        <is>
          <t>Claude(웹 수집)</t>
        </is>
      </c>
      <c r="X78" s="22" t="inlineStr">
        <is>
          <t>2026-10-21</t>
        </is>
      </c>
      <c r="Y78" s="18" t="inlineStr">
        <is>
          <t>https://www.diningcode.com/profile.php?rid=gvDVHrCNJTwe</t>
        </is>
      </c>
      <c r="Z78" s="18" t="inlineStr">
        <is>
          <t>초안(웹 수집). 현장 미확인 / 추정 칸: 머무는 시간·1인 지출·태그·지역 / 영업시간 참고: 토·일 10:00-22:00 / 프랜차이즈 추정(확인필요),테이크아웃</t>
        </is>
      </c>
    </row>
    <row r="79">
      <c r="A79" s="16" t="inlineStr">
        <is>
          <t>store_077</t>
        </is>
      </c>
      <c r="B79" s="17" t="inlineStr">
        <is>
          <t>용가회전훠궈 광주충장로점</t>
        </is>
      </c>
      <c r="C79" s="17" t="inlineStr">
        <is>
          <t>식당</t>
        </is>
      </c>
      <c r="D79" s="17" t="inlineStr">
        <is>
          <t>동구 충장로</t>
        </is>
      </c>
      <c r="E79" s="18" t="inlineStr">
        <is>
          <t>광주광역시 동구 충장로 72 2층</t>
        </is>
      </c>
      <c r="F79" s="19" t="n"/>
      <c r="G79" s="19" t="n"/>
      <c r="H79" s="20" t="inlineStr">
        <is>
          <t>11:00</t>
        </is>
      </c>
      <c r="I79" s="20" t="inlineStr">
        <is>
          <t>22:00</t>
        </is>
      </c>
      <c r="J79" s="17" t="n"/>
      <c r="K79" s="17" t="n">
        <v>80</v>
      </c>
      <c r="L79" s="21" t="n">
        <v>22000</v>
      </c>
      <c r="M79" s="18" t="inlineStr">
        <is>
          <t>평일점심 19,900 / 평일저녁·주말 23,900</t>
        </is>
      </c>
      <c r="N79" s="17" t="inlineStr">
        <is>
          <t>훠궈 무한리필</t>
        </is>
      </c>
      <c r="O79" s="17" t="n"/>
      <c r="P79" s="17" t="inlineStr">
        <is>
          <t>식사</t>
        </is>
      </c>
      <c r="Q79" s="17" t="inlineStr">
        <is>
          <t>현대적</t>
        </is>
      </c>
      <c r="R79" s="17" t="inlineStr">
        <is>
          <t>실내</t>
        </is>
      </c>
      <c r="S79" s="17" t="inlineStr">
        <is>
          <t>오전, 오후, 저녁</t>
        </is>
      </c>
      <c r="T79" s="17" t="n"/>
      <c r="U79" s="17" t="n"/>
      <c r="V79" s="18" t="inlineStr">
        <is>
          <t>프랜차이즈 추정</t>
        </is>
      </c>
      <c r="W79" s="17" t="inlineStr">
        <is>
          <t>Claude(웹 수집)</t>
        </is>
      </c>
      <c r="X79" s="22" t="inlineStr">
        <is>
          <t>2026-10-21</t>
        </is>
      </c>
      <c r="Y79" s="18" t="inlineStr">
        <is>
          <t>https://www.diningcode.com/profile.php?rid=9FULmCWyF8lz</t>
        </is>
      </c>
      <c r="Z79" s="18" t="inlineStr">
        <is>
          <t>초안(웹 수집). 현장 미확인 / 추정 칸: 머무는 시간·1인 지출·태그·지역 / 영업시간 참고: 금~일 23:00까지 / 라스트오더 목월화20:30 금~일21:30 / 프랜차이즈 추정</t>
        </is>
      </c>
    </row>
    <row r="80">
      <c r="A80" s="16" t="inlineStr">
        <is>
          <t>store_078</t>
        </is>
      </c>
      <c r="B80" s="17" t="inlineStr">
        <is>
          <t>광주보쌈</t>
        </is>
      </c>
      <c r="C80" s="17" t="inlineStr">
        <is>
          <t>식당</t>
        </is>
      </c>
      <c r="D80" s="17" t="inlineStr">
        <is>
          <t>동구 충장로</t>
        </is>
      </c>
      <c r="E80" s="18" t="inlineStr">
        <is>
          <t>광주광역시 동구 서석로 29-5</t>
        </is>
      </c>
      <c r="F80" s="19" t="n"/>
      <c r="G80" s="19" t="n"/>
      <c r="H80" s="20" t="inlineStr">
        <is>
          <t>12:00</t>
        </is>
      </c>
      <c r="I80" s="20" t="inlineStr">
        <is>
          <t>21:00</t>
        </is>
      </c>
      <c r="J80" s="17" t="n"/>
      <c r="K80" s="17" t="n">
        <v>80</v>
      </c>
      <c r="L80" s="21" t="n">
        <v>30000</v>
      </c>
      <c r="M80" s="18" t="inlineStr">
        <is>
          <t>보쌈 30,000 / 고기추가 25,000</t>
        </is>
      </c>
      <c r="N80" s="17" t="inlineStr">
        <is>
          <t>보쌈</t>
        </is>
      </c>
      <c r="O80" s="17" t="n"/>
      <c r="P80" s="17" t="inlineStr">
        <is>
          <t>식사</t>
        </is>
      </c>
      <c r="Q80" s="17" t="inlineStr">
        <is>
          <t>서민적</t>
        </is>
      </c>
      <c r="R80" s="17" t="inlineStr">
        <is>
          <t>실내</t>
        </is>
      </c>
      <c r="S80" s="17" t="inlineStr">
        <is>
          <t>오후, 저녁</t>
        </is>
      </c>
      <c r="T80" s="17" t="n"/>
      <c r="U80" s="17" t="n"/>
      <c r="V80" s="18" t="inlineStr">
        <is>
          <t>생활의달인·노포 태그</t>
        </is>
      </c>
      <c r="W80" s="17" t="inlineStr">
        <is>
          <t>Claude(웹 수집)</t>
        </is>
      </c>
      <c r="X80" s="22" t="inlineStr">
        <is>
          <t>2026-10-21</t>
        </is>
      </c>
      <c r="Y80" s="18" t="inlineStr">
        <is>
          <t>https://www.diningcode.com/profile.php?rid=UL1RHqR8ZwnT</t>
        </is>
      </c>
      <c r="Z80" s="18" t="inlineStr">
        <is>
          <t>초안(웹 수집). 현장 미확인 / 추정 칸: 머무는 시간·1인 지출·태그·지역 / 휴무 확인 필요(수요일)</t>
        </is>
      </c>
    </row>
    <row r="81">
      <c r="A81" s="16" t="inlineStr">
        <is>
          <t>store_079</t>
        </is>
      </c>
      <c r="B81" s="17" t="inlineStr">
        <is>
          <t>중앙식당 충장점</t>
        </is>
      </c>
      <c r="C81" s="17" t="inlineStr">
        <is>
          <t>식당</t>
        </is>
      </c>
      <c r="D81" s="17" t="inlineStr">
        <is>
          <t>동구 충장로</t>
        </is>
      </c>
      <c r="E81" s="18" t="inlineStr">
        <is>
          <t>광주광역시 동구 충장로 87</t>
        </is>
      </c>
      <c r="F81" s="19" t="n"/>
      <c r="G81" s="19" t="n"/>
      <c r="H81" s="20" t="inlineStr">
        <is>
          <t>10:00</t>
        </is>
      </c>
      <c r="I81" s="20" t="inlineStr">
        <is>
          <t>22:00</t>
        </is>
      </c>
      <c r="J81" s="17" t="inlineStr">
        <is>
          <t>월</t>
        </is>
      </c>
      <c r="K81" s="17" t="n">
        <v>60</v>
      </c>
      <c r="L81" s="21" t="n">
        <v>23000</v>
      </c>
      <c r="M81" s="18" t="inlineStr">
        <is>
          <t>철판 닭볶음 30,000 / 철판오징어볶음 16,000 / 한마리반 46,000</t>
        </is>
      </c>
      <c r="N81" s="17" t="inlineStr">
        <is>
          <t>닭볶음탕</t>
        </is>
      </c>
      <c r="O81" s="17" t="n"/>
      <c r="P81" s="17" t="inlineStr">
        <is>
          <t>식사</t>
        </is>
      </c>
      <c r="Q81" s="17" t="inlineStr">
        <is>
          <t>현대적</t>
        </is>
      </c>
      <c r="R81" s="17" t="inlineStr">
        <is>
          <t>실내</t>
        </is>
      </c>
      <c r="S81" s="17" t="inlineStr">
        <is>
          <t>오전, 오후, 저녁</t>
        </is>
      </c>
      <c r="T81" s="17" t="n"/>
      <c r="U81" s="17" t="n"/>
      <c r="V81" s="18" t="n"/>
      <c r="W81" s="17" t="inlineStr">
        <is>
          <t>Claude(웹 수집)</t>
        </is>
      </c>
      <c r="X81" s="22" t="inlineStr">
        <is>
          <t>2026-10-21</t>
        </is>
      </c>
      <c r="Y81" s="18" t="inlineStr">
        <is>
          <t>https://www.diningcode.com/profile.php?rid=WnILumNDkiyX</t>
        </is>
      </c>
      <c r="Z81" s="18" t="inlineStr">
        <is>
          <t>초안(웹 수집). 현장 미확인 / 추정 칸: 머무는 시간·1인 지출·태그·지역</t>
        </is>
      </c>
    </row>
    <row r="82">
      <c r="A82" s="16" t="inlineStr">
        <is>
          <t>store_080</t>
        </is>
      </c>
      <c r="B82" s="17" t="inlineStr">
        <is>
          <t>보광옥</t>
        </is>
      </c>
      <c r="C82" s="17" t="inlineStr">
        <is>
          <t>식당</t>
        </is>
      </c>
      <c r="D82" s="17" t="inlineStr">
        <is>
          <t>동구 충장로</t>
        </is>
      </c>
      <c r="E82" s="18" t="inlineStr">
        <is>
          <t>광주광역시 동구 충장로46번길 16</t>
        </is>
      </c>
      <c r="F82" s="19" t="n"/>
      <c r="G82" s="19" t="n"/>
      <c r="H82" s="20" t="inlineStr">
        <is>
          <t>11:00</t>
        </is>
      </c>
      <c r="I82" s="20" t="inlineStr">
        <is>
          <t>21:30</t>
        </is>
      </c>
      <c r="J82" s="17" t="inlineStr">
        <is>
          <t>월</t>
        </is>
      </c>
      <c r="K82" s="17" t="n">
        <v>80</v>
      </c>
      <c r="L82" s="21" t="n">
        <v>8500</v>
      </c>
      <c r="M82" s="18" t="inlineStr">
        <is>
          <t>돼지갈비 18,000 / 김치찌개 10,000 / 물냉면 7,000</t>
        </is>
      </c>
      <c r="N82" s="17" t="inlineStr">
        <is>
          <t>돼지갈비</t>
        </is>
      </c>
      <c r="O82" s="17" t="n"/>
      <c r="P82" s="17" t="inlineStr">
        <is>
          <t>식사</t>
        </is>
      </c>
      <c r="Q82" s="17" t="inlineStr">
        <is>
          <t>현대적</t>
        </is>
      </c>
      <c r="R82" s="17" t="inlineStr">
        <is>
          <t>실내</t>
        </is>
      </c>
      <c r="S82" s="17" t="inlineStr">
        <is>
          <t>오전, 오후, 저녁</t>
        </is>
      </c>
      <c r="T82" s="17" t="n"/>
      <c r="U82" s="17" t="n"/>
      <c r="V82" s="18" t="inlineStr">
        <is>
          <t>개업 1970. 담양식 돼지갈비</t>
        </is>
      </c>
      <c r="W82" s="17" t="inlineStr">
        <is>
          <t>Claude(웹 수집)</t>
        </is>
      </c>
      <c r="X82" s="22" t="inlineStr">
        <is>
          <t>2026-10-21</t>
        </is>
      </c>
      <c r="Y82" s="18" t="inlineStr">
        <is>
          <t>https://www.diningcode.com/profile.php?rid=Pstfj7iNtR01</t>
        </is>
      </c>
      <c r="Z82" s="18" t="inlineStr">
        <is>
          <t>초안(웹 수집). 현장 미확인 / 추정 칸: 머무는 시간·1인 지출·태그·지역 / 브레이크타임 15:00-16:30</t>
        </is>
      </c>
    </row>
    <row r="83">
      <c r="A83" s="16" t="inlineStr">
        <is>
          <t>store_081</t>
        </is>
      </c>
      <c r="B83" s="17" t="inlineStr">
        <is>
          <t>보배반점 충장점</t>
        </is>
      </c>
      <c r="C83" s="17" t="inlineStr">
        <is>
          <t>식당</t>
        </is>
      </c>
      <c r="D83" s="17" t="inlineStr">
        <is>
          <t>동구 충장로</t>
        </is>
      </c>
      <c r="E83" s="18" t="inlineStr">
        <is>
          <t>광주광역시 동구 충장로 77-6 1층</t>
        </is>
      </c>
      <c r="F83" s="19" t="n"/>
      <c r="G83" s="19" t="n"/>
      <c r="H83" s="20" t="inlineStr">
        <is>
          <t>11:00</t>
        </is>
      </c>
      <c r="I83" s="20" t="inlineStr">
        <is>
          <t>22:00</t>
        </is>
      </c>
      <c r="J83" s="17" t="n"/>
      <c r="K83" s="17" t="n">
        <v>60</v>
      </c>
      <c r="L83" s="21" t="n">
        <v>13500</v>
      </c>
      <c r="M83" s="18" t="inlineStr">
        <is>
          <t>소고기짬뽕 13,000 / 크림짬뽕 14,000 / 해물쟁반짜장 22,000</t>
        </is>
      </c>
      <c r="N83" s="17" t="inlineStr">
        <is>
          <t>중식</t>
        </is>
      </c>
      <c r="O83" s="17" t="n"/>
      <c r="P83" s="17" t="inlineStr">
        <is>
          <t>식사</t>
        </is>
      </c>
      <c r="Q83" s="17" t="inlineStr">
        <is>
          <t>현대적</t>
        </is>
      </c>
      <c r="R83" s="17" t="inlineStr">
        <is>
          <t>실내</t>
        </is>
      </c>
      <c r="S83" s="17" t="inlineStr">
        <is>
          <t>오전, 오후, 저녁</t>
        </is>
      </c>
      <c r="T83" s="17" t="n"/>
      <c r="U83" s="17" t="n"/>
      <c r="V83" s="18" t="n"/>
      <c r="W83" s="17" t="inlineStr">
        <is>
          <t>Claude(웹 수집)</t>
        </is>
      </c>
      <c r="X83" s="22" t="inlineStr">
        <is>
          <t>2026-10-21</t>
        </is>
      </c>
      <c r="Y83" s="18" t="inlineStr">
        <is>
          <t>https://www.diningcode.com/profile.php?rid=4uE3dJpnGccj</t>
        </is>
      </c>
      <c r="Z83" s="18" t="inlineStr">
        <is>
          <t>초안(웹 수집). 현장 미확인 / 추정 칸: 머무는 시간·1인 지출·태그·지역 / 브레이크타임 15:00-16:00 / 라스트오더 21:30(블로그)</t>
        </is>
      </c>
    </row>
    <row r="84">
      <c r="A84" s="16" t="inlineStr">
        <is>
          <t>store_082</t>
        </is>
      </c>
      <c r="B84" s="17" t="inlineStr">
        <is>
          <t>커피온리 광주충장로점</t>
        </is>
      </c>
      <c r="C84" s="17" t="inlineStr">
        <is>
          <t>카페·디저트</t>
        </is>
      </c>
      <c r="D84" s="17" t="inlineStr">
        <is>
          <t>동구 충장로</t>
        </is>
      </c>
      <c r="E84" s="18" t="inlineStr">
        <is>
          <t>광주광역시 동구 서석로 37</t>
        </is>
      </c>
      <c r="F84" s="19" t="n"/>
      <c r="G84" s="19" t="n"/>
      <c r="H84" s="20" t="inlineStr">
        <is>
          <t>08:00</t>
        </is>
      </c>
      <c r="I84" s="20" t="inlineStr">
        <is>
          <t>19:00</t>
        </is>
      </c>
      <c r="J84" s="17" t="n"/>
      <c r="K84" s="17" t="n">
        <v>60</v>
      </c>
      <c r="L84" s="21" t="n"/>
      <c r="M84" s="18" t="inlineStr">
        <is>
          <t>아메리카노 1,500 / 콜드브루 2,900 / 카페라떼 2,900</t>
        </is>
      </c>
      <c r="N84" s="17" t="inlineStr">
        <is>
          <t>커피</t>
        </is>
      </c>
      <c r="O84" s="17" t="n"/>
      <c r="P84" s="17" t="inlineStr">
        <is>
          <t>카페·디저트</t>
        </is>
      </c>
      <c r="Q84" s="17" t="inlineStr">
        <is>
          <t>현대적</t>
        </is>
      </c>
      <c r="R84" s="17" t="inlineStr">
        <is>
          <t>실내</t>
        </is>
      </c>
      <c r="S84" s="17" t="inlineStr">
        <is>
          <t>오전, 오후, 저녁</t>
        </is>
      </c>
      <c r="T84" s="17" t="n"/>
      <c r="U84" s="17" t="n"/>
      <c r="V84" s="18" t="inlineStr">
        <is>
          <t>저가형 테이크아웃(프랜차이즈 추정)</t>
        </is>
      </c>
      <c r="W84" s="17" t="inlineStr">
        <is>
          <t>Claude(웹 수집)</t>
        </is>
      </c>
      <c r="X84" s="22" t="inlineStr">
        <is>
          <t>2026-10-21</t>
        </is>
      </c>
      <c r="Y84" s="18" t="inlineStr">
        <is>
          <t>https://www.diningcode.com/profile.php?rid=lE32rRzXOb4r</t>
        </is>
      </c>
      <c r="Z84" s="18" t="inlineStr">
        <is>
          <t>초안(웹 수집). 현장 미확인 / 추정 칸: 머무는 시간·1인 지출·태그·지역 / 휴무 확인 필요(확인필요(표기 불명확)) / 저가형 테이크아웃(프랜차이즈 추정) / 지출 추정 불가(메뉴 가격 없음) - 직접 입력</t>
        </is>
      </c>
    </row>
    <row r="85">
      <c r="A85" s="16" t="inlineStr">
        <is>
          <t>store_083</t>
        </is>
      </c>
      <c r="B85" s="17" t="inlineStr">
        <is>
          <t>로머스카페</t>
        </is>
      </c>
      <c r="C85" s="17" t="inlineStr">
        <is>
          <t>카페·디저트</t>
        </is>
      </c>
      <c r="D85" s="17" t="inlineStr">
        <is>
          <t>동구 금남로</t>
        </is>
      </c>
      <c r="E85" s="18" t="inlineStr">
        <is>
          <t>광주광역시 동구 금남로 202 로머스파크 1층 102호</t>
        </is>
      </c>
      <c r="F85" s="19" t="n"/>
      <c r="G85" s="19" t="n"/>
      <c r="H85" s="20" t="inlineStr">
        <is>
          <t>08:00</t>
        </is>
      </c>
      <c r="I85" s="20" t="inlineStr">
        <is>
          <t>21:30</t>
        </is>
      </c>
      <c r="J85" s="17" t="n"/>
      <c r="K85" s="17" t="n">
        <v>60</v>
      </c>
      <c r="L85" s="21" t="n">
        <v>3500</v>
      </c>
      <c r="M85" s="18" t="inlineStr">
        <is>
          <t>수제쿠키 3,300 / 아메리카노 3,500 / 카페라떼 4,000</t>
        </is>
      </c>
      <c r="N85" s="17" t="inlineStr">
        <is>
          <t>카페</t>
        </is>
      </c>
      <c r="O85" s="17" t="n"/>
      <c r="P85" s="17" t="inlineStr">
        <is>
          <t>카페·디저트</t>
        </is>
      </c>
      <c r="Q85" s="17" t="inlineStr">
        <is>
          <t>현대적</t>
        </is>
      </c>
      <c r="R85" s="17" t="inlineStr">
        <is>
          <t>실내외</t>
        </is>
      </c>
      <c r="S85" s="17" t="inlineStr">
        <is>
          <t>오전, 오후, 저녁</t>
        </is>
      </c>
      <c r="T85" s="17" t="n"/>
      <c r="U85" s="17" t="n"/>
      <c r="V85" s="18" t="inlineStr">
        <is>
          <t>카공,야외테이블</t>
        </is>
      </c>
      <c r="W85" s="17" t="inlineStr">
        <is>
          <t>Claude(웹 수집)</t>
        </is>
      </c>
      <c r="X85" s="22" t="inlineStr">
        <is>
          <t>2026-10-21</t>
        </is>
      </c>
      <c r="Y85" s="18" t="inlineStr">
        <is>
          <t>https://www.diningcode.com/profile.php?rid=YltwdtdSJNzx</t>
        </is>
      </c>
      <c r="Z85" s="18" t="inlineStr">
        <is>
          <t>초안(웹 수집). 현장 미확인 / 추정 칸: 머무는 시간·1인 지출·태그·지역</t>
        </is>
      </c>
    </row>
    <row r="86">
      <c r="A86" s="16" t="inlineStr">
        <is>
          <t>store_084</t>
        </is>
      </c>
      <c r="B86" s="17" t="inlineStr">
        <is>
          <t>금성식당</t>
        </is>
      </c>
      <c r="C86" s="17" t="inlineStr">
        <is>
          <t>식당</t>
        </is>
      </c>
      <c r="D86" s="17" t="inlineStr">
        <is>
          <t>동구 대인동</t>
        </is>
      </c>
      <c r="E86" s="18" t="inlineStr">
        <is>
          <t>광주광역시 동구 제봉로222번길 2</t>
        </is>
      </c>
      <c r="F86" s="19" t="n"/>
      <c r="G86" s="19" t="n"/>
      <c r="H86" s="20" t="inlineStr">
        <is>
          <t>00:00</t>
        </is>
      </c>
      <c r="I86" s="20" t="inlineStr">
        <is>
          <t>24:00</t>
        </is>
      </c>
      <c r="J86" s="17" t="n"/>
      <c r="K86" s="17" t="n">
        <v>40</v>
      </c>
      <c r="L86" s="21" t="n">
        <v>15500</v>
      </c>
      <c r="M86" s="18" t="inlineStr">
        <is>
          <t>금성김치전골 1인 14,000 / 목포갈치조림 17,000 / 오삼불고기 17,000</t>
        </is>
      </c>
      <c r="N86" s="17" t="inlineStr">
        <is>
          <t>김치찌개,전골</t>
        </is>
      </c>
      <c r="O86" s="17" t="n"/>
      <c r="P86" s="17" t="inlineStr">
        <is>
          <t>식사</t>
        </is>
      </c>
      <c r="Q86" s="17" t="inlineStr">
        <is>
          <t>서민적</t>
        </is>
      </c>
      <c r="R86" s="17" t="inlineStr">
        <is>
          <t>실내</t>
        </is>
      </c>
      <c r="S86" s="17" t="inlineStr">
        <is>
          <t>오전, 오후, 저녁, 밤</t>
        </is>
      </c>
      <c r="T86" s="17" t="n"/>
      <c r="U86" s="17" t="n"/>
      <c r="V86" s="18" t="inlineStr">
        <is>
          <t>24시간 노포</t>
        </is>
      </c>
      <c r="W86" s="17" t="inlineStr">
        <is>
          <t>Claude(웹 수집)</t>
        </is>
      </c>
      <c r="X86" s="22" t="inlineStr">
        <is>
          <t>2026-10-21</t>
        </is>
      </c>
      <c r="Y86" s="18" t="inlineStr">
        <is>
          <t>https://www.diningcode.com/profile.php?rid=jBSNinRzNyaE</t>
        </is>
      </c>
      <c r="Z86" s="18" t="inlineStr">
        <is>
          <t>초안(웹 수집). 현장 미확인 / 추정 칸: 머무는 시간·1인 지출·태그·지역</t>
        </is>
      </c>
    </row>
    <row r="87">
      <c r="A87" s="16" t="inlineStr">
        <is>
          <t>store_085</t>
        </is>
      </c>
      <c r="B87" s="17" t="inlineStr">
        <is>
          <t>반도식당</t>
        </is>
      </c>
      <c r="C87" s="17" t="inlineStr">
        <is>
          <t>식당</t>
        </is>
      </c>
      <c r="D87" s="17" t="inlineStr">
        <is>
          <t>동구 대인동</t>
        </is>
      </c>
      <c r="E87" s="18" t="inlineStr">
        <is>
          <t>광주광역시 동구 구성로 194-1</t>
        </is>
      </c>
      <c r="F87" s="19" t="n"/>
      <c r="G87" s="19" t="n"/>
      <c r="H87" s="20" t="inlineStr">
        <is>
          <t>11:00</t>
        </is>
      </c>
      <c r="I87" s="20" t="inlineStr">
        <is>
          <t>21:00</t>
        </is>
      </c>
      <c r="J87" s="17" t="n"/>
      <c r="K87" s="17" t="n">
        <v>40</v>
      </c>
      <c r="L87" s="21" t="n">
        <v>7500</v>
      </c>
      <c r="M87" s="18" t="inlineStr">
        <is>
          <t>제육볶음 8,000 / 두부김치 9,000 / 호박찌개 7,000</t>
        </is>
      </c>
      <c r="N87" s="17" t="inlineStr">
        <is>
          <t>백반,소주방</t>
        </is>
      </c>
      <c r="O87" s="17" t="n"/>
      <c r="P87" s="17" t="inlineStr">
        <is>
          <t>식사</t>
        </is>
      </c>
      <c r="Q87" s="17" t="inlineStr">
        <is>
          <t>서민적</t>
        </is>
      </c>
      <c r="R87" s="17" t="inlineStr">
        <is>
          <t>실내</t>
        </is>
      </c>
      <c r="S87" s="17" t="inlineStr">
        <is>
          <t>오전, 오후, 저녁</t>
        </is>
      </c>
      <c r="T87" s="17" t="n"/>
      <c r="U87" s="17" t="n"/>
      <c r="V87" s="18" t="inlineStr">
        <is>
          <t>노포</t>
        </is>
      </c>
      <c r="W87" s="17" t="inlineStr">
        <is>
          <t>Claude(웹 수집)</t>
        </is>
      </c>
      <c r="X87" s="22" t="inlineStr">
        <is>
          <t>2026-10-21</t>
        </is>
      </c>
      <c r="Y87" s="18" t="inlineStr">
        <is>
          <t>https://www.diningcode.com/profile.php?rid=H2mWVYc5zJ1j</t>
        </is>
      </c>
      <c r="Z87" s="18" t="inlineStr">
        <is>
          <t>초안(웹 수집). 현장 미확인 / 추정 칸: 머무는 시간·1인 지출·태그·지역 / 휴무 확인 필요(명절 전날·당일(블로그))</t>
        </is>
      </c>
    </row>
    <row r="88">
      <c r="A88" s="16" t="inlineStr">
        <is>
          <t>store_086</t>
        </is>
      </c>
      <c r="B88" s="17" t="inlineStr">
        <is>
          <t>두배곱창 부대찌개</t>
        </is>
      </c>
      <c r="C88" s="17" t="inlineStr">
        <is>
          <t>식당</t>
        </is>
      </c>
      <c r="D88" s="17" t="inlineStr">
        <is>
          <t>동구 대인동</t>
        </is>
      </c>
      <c r="E88" s="18" t="inlineStr">
        <is>
          <t>광주광역시 동구 제봉로 220-1 1층</t>
        </is>
      </c>
      <c r="F88" s="19" t="n"/>
      <c r="G88" s="19" t="n"/>
      <c r="H88" s="20" t="inlineStr">
        <is>
          <t>09:30</t>
        </is>
      </c>
      <c r="I88" s="20" t="inlineStr">
        <is>
          <t>23:00</t>
        </is>
      </c>
      <c r="J88" s="17" t="n"/>
      <c r="K88" s="17" t="n">
        <v>80</v>
      </c>
      <c r="L88" s="21" t="n">
        <v>11500</v>
      </c>
      <c r="M88" s="18" t="inlineStr">
        <is>
          <t>곰탕 10,000 / 모듬곰탕 13,000 / 소곱창 구이한판 29,800</t>
        </is>
      </c>
      <c r="N88" s="17" t="inlineStr">
        <is>
          <t>곱창,부대찌개</t>
        </is>
      </c>
      <c r="O88" s="17" t="n"/>
      <c r="P88" s="17" t="inlineStr">
        <is>
          <t>식사</t>
        </is>
      </c>
      <c r="Q88" s="17" t="inlineStr">
        <is>
          <t>현대적</t>
        </is>
      </c>
      <c r="R88" s="17" t="inlineStr">
        <is>
          <t>실내</t>
        </is>
      </c>
      <c r="S88" s="17" t="inlineStr">
        <is>
          <t>오전, 오후, 저녁, 밤</t>
        </is>
      </c>
      <c r="T88" s="17" t="n"/>
      <c r="U88" s="17" t="n"/>
      <c r="V88" s="18" t="n"/>
      <c r="W88" s="17" t="inlineStr">
        <is>
          <t>Claude(웹 수집)</t>
        </is>
      </c>
      <c r="X88" s="22" t="inlineStr">
        <is>
          <t>2026-10-21</t>
        </is>
      </c>
      <c r="Y88" s="18" t="inlineStr">
        <is>
          <t>https://www.diningcode.com/profile.php?rid=KkgjsUJPYoGE</t>
        </is>
      </c>
      <c r="Z88" s="18" t="inlineStr">
        <is>
          <t>초안(웹 수집). 현장 미확인 / 추정 칸: 머무는 시간·1인 지출·태그·지역</t>
        </is>
      </c>
    </row>
    <row r="89">
      <c r="A89" s="16" t="inlineStr">
        <is>
          <t>store_087</t>
        </is>
      </c>
      <c r="B89" s="17" t="inlineStr">
        <is>
          <t>대인전집</t>
        </is>
      </c>
      <c r="C89" s="17" t="inlineStr">
        <is>
          <t>식당</t>
        </is>
      </c>
      <c r="D89" s="17" t="inlineStr">
        <is>
          <t>동구 대인동</t>
        </is>
      </c>
      <c r="E89" s="18" t="inlineStr">
        <is>
          <t>광주광역시 동구 제봉로184번길 15-1</t>
        </is>
      </c>
      <c r="F89" s="19" t="n"/>
      <c r="G89" s="19" t="n"/>
      <c r="H89" s="20" t="inlineStr">
        <is>
          <t>09:00</t>
        </is>
      </c>
      <c r="I89" s="20" t="inlineStr">
        <is>
          <t>20:00</t>
        </is>
      </c>
      <c r="J89" s="17" t="n"/>
      <c r="K89" s="17" t="n">
        <v>60</v>
      </c>
      <c r="L89" s="21" t="n"/>
      <c r="M89" s="18" t="inlineStr">
        <is>
          <t>육전·산적·고추전(가격 없음)</t>
        </is>
      </c>
      <c r="N89" s="17" t="inlineStr">
        <is>
          <t>전,나물</t>
        </is>
      </c>
      <c r="O89" s="17" t="n"/>
      <c r="P89" s="17" t="inlineStr">
        <is>
          <t>식사</t>
        </is>
      </c>
      <c r="Q89" s="17" t="inlineStr">
        <is>
          <t>현대적</t>
        </is>
      </c>
      <c r="R89" s="17" t="inlineStr">
        <is>
          <t>실내</t>
        </is>
      </c>
      <c r="S89" s="17" t="inlineStr">
        <is>
          <t>오전, 오후, 저녁</t>
        </is>
      </c>
      <c r="T89" s="17" t="n"/>
      <c r="U89" s="17" t="n"/>
      <c r="V89" s="18" t="inlineStr">
        <is>
          <t>미리 연락해 주문 가능</t>
        </is>
      </c>
      <c r="W89" s="17" t="inlineStr">
        <is>
          <t>Claude(웹 수집)</t>
        </is>
      </c>
      <c r="X89" s="22" t="inlineStr">
        <is>
          <t>2026-10-21</t>
        </is>
      </c>
      <c r="Y89" s="18" t="inlineStr">
        <is>
          <t>https://www.diningcode.com/profile.php?rid=FTWq77WyhENa</t>
        </is>
      </c>
      <c r="Z89" s="18" t="inlineStr">
        <is>
          <t>초안(웹 수집). 현장 미확인 / 추정 칸: 머무는 시간·1인 지출·태그·지역 / 지출 추정 불가(메뉴 가격 없음) - 직접 입력</t>
        </is>
      </c>
    </row>
    <row r="90">
      <c r="A90" s="16" t="inlineStr">
        <is>
          <t>store_088</t>
        </is>
      </c>
      <c r="B90" s="17" t="inlineStr">
        <is>
          <t>해뜨는식당</t>
        </is>
      </c>
      <c r="C90" s="17" t="inlineStr">
        <is>
          <t>식당</t>
        </is>
      </c>
      <c r="D90" s="17" t="inlineStr">
        <is>
          <t>동구 대인동</t>
        </is>
      </c>
      <c r="E90" s="18" t="inlineStr">
        <is>
          <t>광주광역시 동구 제봉로190번길 7-2</t>
        </is>
      </c>
      <c r="F90" s="19" t="n"/>
      <c r="G90" s="19" t="n"/>
      <c r="H90" s="20" t="inlineStr">
        <is>
          <t>10:00</t>
        </is>
      </c>
      <c r="I90" s="20" t="inlineStr">
        <is>
          <t>14:00</t>
        </is>
      </c>
      <c r="J90" s="17" t="inlineStr">
        <is>
          <t>일</t>
        </is>
      </c>
      <c r="K90" s="17" t="n">
        <v>40</v>
      </c>
      <c r="L90" s="21" t="n"/>
      <c r="M90" s="18" t="inlineStr">
        <is>
          <t>백반 1,000</t>
        </is>
      </c>
      <c r="N90" s="17" t="inlineStr">
        <is>
          <t>백반</t>
        </is>
      </c>
      <c r="O90" s="17" t="n"/>
      <c r="P90" s="17" t="inlineStr">
        <is>
          <t>식사</t>
        </is>
      </c>
      <c r="Q90" s="17" t="inlineStr">
        <is>
          <t>서민적</t>
        </is>
      </c>
      <c r="R90" s="17" t="inlineStr">
        <is>
          <t>실내</t>
        </is>
      </c>
      <c r="S90" s="17" t="inlineStr">
        <is>
          <t>오전, 오후</t>
        </is>
      </c>
      <c r="T90" s="17" t="n"/>
      <c r="U90" s="17" t="n"/>
      <c r="V90" s="18" t="inlineStr">
        <is>
          <t>2010년부터 1,000원 백반 봉사식당</t>
        </is>
      </c>
      <c r="W90" s="17" t="inlineStr">
        <is>
          <t>Claude(웹 수집)</t>
        </is>
      </c>
      <c r="X90" s="22" t="inlineStr">
        <is>
          <t>2026-10-21</t>
        </is>
      </c>
      <c r="Y90" s="18" t="inlineStr">
        <is>
          <t>https://www.diningcode.com/profile.php?rid=ZIsd431KRoJP</t>
        </is>
      </c>
      <c r="Z90" s="18" t="inlineStr">
        <is>
          <t>초안(웹 수집). 현장 미확인 / 추정 칸: 머무는 시간·1인 지출·태그·지역 / 휴무 근거: 블로그 / 지출 추정 불가(메뉴 가격 없음) - 직접 입력</t>
        </is>
      </c>
    </row>
    <row r="91">
      <c r="A91" s="16" t="inlineStr">
        <is>
          <t>store_089</t>
        </is>
      </c>
      <c r="B91" s="17" t="inlineStr">
        <is>
          <t>할매추어탕&amp;오리탕</t>
        </is>
      </c>
      <c r="C91" s="17" t="inlineStr">
        <is>
          <t>식당</t>
        </is>
      </c>
      <c r="D91" s="17" t="inlineStr">
        <is>
          <t>동구 대인동</t>
        </is>
      </c>
      <c r="E91" s="18" t="inlineStr">
        <is>
          <t>광주광역시 동구 구성로 198</t>
        </is>
      </c>
      <c r="F91" s="19" t="n"/>
      <c r="G91" s="19" t="n"/>
      <c r="H91" s="20" t="inlineStr">
        <is>
          <t>11:00</t>
        </is>
      </c>
      <c r="I91" s="20" t="inlineStr">
        <is>
          <t>21:00</t>
        </is>
      </c>
      <c r="J91" s="17" t="n"/>
      <c r="K91" s="17" t="n">
        <v>60</v>
      </c>
      <c r="L91" s="21" t="n">
        <v>9000</v>
      </c>
      <c r="M91" s="18" t="inlineStr">
        <is>
          <t>추어탕 10,000 / 오리탕(반마리) 30,000 / 새우볶음밥 8,000</t>
        </is>
      </c>
      <c r="N91" s="17" t="inlineStr">
        <is>
          <t>추어탕,오리탕</t>
        </is>
      </c>
      <c r="O91" s="17" t="n"/>
      <c r="P91" s="17" t="inlineStr">
        <is>
          <t>식사</t>
        </is>
      </c>
      <c r="Q91" s="17" t="inlineStr">
        <is>
          <t>서민적</t>
        </is>
      </c>
      <c r="R91" s="17" t="inlineStr">
        <is>
          <t>실내</t>
        </is>
      </c>
      <c r="S91" s="17" t="inlineStr">
        <is>
          <t>오전, 오후, 저녁</t>
        </is>
      </c>
      <c r="T91" s="17" t="n"/>
      <c r="U91" s="17" t="n"/>
      <c r="V91" s="18" t="inlineStr">
        <is>
          <t>오래된맛집 태그</t>
        </is>
      </c>
      <c r="W91" s="17" t="inlineStr">
        <is>
          <t>Claude(웹 수집)</t>
        </is>
      </c>
      <c r="X91" s="22" t="inlineStr">
        <is>
          <t>2026-10-21</t>
        </is>
      </c>
      <c r="Y91" s="18" t="inlineStr">
        <is>
          <t>https://www.diningcode.com/profile.php?rid=4JjdLK9fH51l</t>
        </is>
      </c>
      <c r="Z91" s="18" t="inlineStr">
        <is>
          <t>초안(웹 수집). 현장 미확인 / 추정 칸: 머무는 시간·1인 지출·태그·지역</t>
        </is>
      </c>
    </row>
    <row r="92">
      <c r="A92" s="16" t="inlineStr">
        <is>
          <t>store_090</t>
        </is>
      </c>
      <c r="B92" s="17" t="inlineStr">
        <is>
          <t>곱깨비 계림점</t>
        </is>
      </c>
      <c r="C92" s="17" t="inlineStr">
        <is>
          <t>야간 콘텐츠</t>
        </is>
      </c>
      <c r="D92" s="17" t="inlineStr">
        <is>
          <t>동구 동명동</t>
        </is>
      </c>
      <c r="E92" s="18" t="inlineStr">
        <is>
          <t>광주광역시 동구 동계천로6번길 1</t>
        </is>
      </c>
      <c r="F92" s="19" t="n"/>
      <c r="G92" s="19" t="n"/>
      <c r="H92" s="20" t="inlineStr">
        <is>
          <t>15:00</t>
        </is>
      </c>
      <c r="I92" s="20" t="inlineStr">
        <is>
          <t>24:00</t>
        </is>
      </c>
      <c r="J92" s="17" t="n"/>
      <c r="K92" s="17" t="n">
        <v>90</v>
      </c>
      <c r="L92" s="21" t="n"/>
      <c r="M92" s="18" t="inlineStr">
        <is>
          <t>야채곱창 등(가격 없음)</t>
        </is>
      </c>
      <c r="N92" s="17" t="inlineStr">
        <is>
          <t>곱창</t>
        </is>
      </c>
      <c r="O92" s="17" t="n"/>
      <c r="P92" s="17" t="inlineStr">
        <is>
          <t>술</t>
        </is>
      </c>
      <c r="Q92" s="17" t="inlineStr">
        <is>
          <t>활기찬</t>
        </is>
      </c>
      <c r="R92" s="17" t="inlineStr">
        <is>
          <t>실내</t>
        </is>
      </c>
      <c r="S92" s="17" t="inlineStr">
        <is>
          <t>오후, 저녁, 밤</t>
        </is>
      </c>
      <c r="T92" s="17" t="n"/>
      <c r="U92" s="17" t="n"/>
      <c r="V92" s="18" t="n"/>
      <c r="W92" s="17" t="inlineStr">
        <is>
          <t>Claude(웹 수집)</t>
        </is>
      </c>
      <c r="X92" s="22" t="inlineStr">
        <is>
          <t>2026-10-21</t>
        </is>
      </c>
      <c r="Y92" s="18" t="inlineStr">
        <is>
          <t>https://www.diningcode.com/profile.php?rid=ezkyVAfYlCl2</t>
        </is>
      </c>
      <c r="Z92" s="18" t="inlineStr">
        <is>
          <t>초안(웹 수집). 현장 미확인 / 추정 칸: 머무는 시간·1인 지출·태그·지역 / 라스트오더 23:15 / 휴무 확인 필요(확인필요) / 지출 추정 불가(메뉴 가격 없음) - 직접 입력</t>
        </is>
      </c>
    </row>
    <row r="93">
      <c r="A93" s="16" t="inlineStr">
        <is>
          <t>store_091</t>
        </is>
      </c>
      <c r="B93" s="17" t="inlineStr">
        <is>
          <t>카페 호시정</t>
        </is>
      </c>
      <c r="C93" s="17" t="inlineStr">
        <is>
          <t>카페·디저트</t>
        </is>
      </c>
      <c r="D93" s="17" t="inlineStr">
        <is>
          <t>동구 동명동</t>
        </is>
      </c>
      <c r="E93" s="18" t="inlineStr">
        <is>
          <t>광주광역시 동구 동계천로 137-9 1층</t>
        </is>
      </c>
      <c r="F93" s="19" t="n"/>
      <c r="G93" s="19" t="n"/>
      <c r="H93" s="20" t="inlineStr">
        <is>
          <t>12:00</t>
        </is>
      </c>
      <c r="I93" s="20" t="inlineStr">
        <is>
          <t>22:00</t>
        </is>
      </c>
      <c r="J93" s="17" t="n"/>
      <c r="K93" s="17" t="n">
        <v>60</v>
      </c>
      <c r="L93" s="21" t="n">
        <v>5500</v>
      </c>
      <c r="M93" s="18" t="inlineStr">
        <is>
          <t>호시정오로라 6,000 / 호시정라떼 6,000 / 콜롬비아 수프리오 5,000</t>
        </is>
      </c>
      <c r="N93" s="17" t="inlineStr">
        <is>
          <t>카페,치즈케이크</t>
        </is>
      </c>
      <c r="O93" s="17" t="n"/>
      <c r="P93" s="17" t="inlineStr">
        <is>
          <t>카페·디저트</t>
        </is>
      </c>
      <c r="Q93" s="17" t="inlineStr">
        <is>
          <t>현대적</t>
        </is>
      </c>
      <c r="R93" s="17" t="inlineStr">
        <is>
          <t>실내</t>
        </is>
      </c>
      <c r="S93" s="17" t="inlineStr">
        <is>
          <t>오후, 저녁</t>
        </is>
      </c>
      <c r="T93" s="17" t="n"/>
      <c r="U93" s="17" t="n"/>
      <c r="V93" s="18" t="inlineStr">
        <is>
          <t>가정집 개조(블로그)</t>
        </is>
      </c>
      <c r="W93" s="17" t="inlineStr">
        <is>
          <t>Claude(웹 수집)</t>
        </is>
      </c>
      <c r="X93" s="22" t="inlineStr">
        <is>
          <t>2026-10-21</t>
        </is>
      </c>
      <c r="Y93" s="18" t="inlineStr">
        <is>
          <t>https://www.diningcode.com/profile.php?rid=kJj87tZPah1b</t>
        </is>
      </c>
      <c r="Z93" s="18" t="inlineStr">
        <is>
          <t>초안(웹 수집). 현장 미확인 / 추정 칸: 머무는 시간·1인 지출·태그·지역</t>
        </is>
      </c>
    </row>
    <row r="94">
      <c r="A94" s="16" t="inlineStr">
        <is>
          <t>store_092</t>
        </is>
      </c>
      <c r="B94" s="17" t="inlineStr">
        <is>
          <t>우쉬룸</t>
        </is>
      </c>
      <c r="C94" s="17" t="inlineStr">
        <is>
          <t>식당</t>
        </is>
      </c>
      <c r="D94" s="17" t="inlineStr">
        <is>
          <t>동구 동명동</t>
        </is>
      </c>
      <c r="E94" s="18" t="inlineStr">
        <is>
          <t>광주광역시 동구 동명로14번길 21</t>
        </is>
      </c>
      <c r="F94" s="19" t="n"/>
      <c r="G94" s="19" t="n"/>
      <c r="H94" s="20" t="inlineStr">
        <is>
          <t>11:30</t>
        </is>
      </c>
      <c r="I94" s="20" t="inlineStr">
        <is>
          <t>21:30</t>
        </is>
      </c>
      <c r="J94" s="17" t="n"/>
      <c r="K94" s="17" t="n">
        <v>60</v>
      </c>
      <c r="L94" s="21" t="n">
        <v>21500</v>
      </c>
      <c r="M94" s="18" t="inlineStr">
        <is>
          <t>살치 스테이크 43,000 / 부채살 스테이크 크림 파스타 25,000 / 훈제 연어 피자 22,000 / 브런치 21,000</t>
        </is>
      </c>
      <c r="N94" s="17" t="inlineStr">
        <is>
          <t>파스타,양식</t>
        </is>
      </c>
      <c r="O94" s="17" t="n"/>
      <c r="P94" s="17" t="inlineStr">
        <is>
          <t>식사</t>
        </is>
      </c>
      <c r="Q94" s="17" t="inlineStr">
        <is>
          <t>현대적</t>
        </is>
      </c>
      <c r="R94" s="17" t="inlineStr">
        <is>
          <t>실내외</t>
        </is>
      </c>
      <c r="S94" s="17" t="inlineStr">
        <is>
          <t>오전, 오후, 저녁</t>
        </is>
      </c>
      <c r="T94" s="17" t="n"/>
      <c r="U94" s="17" t="n"/>
      <c r="V94" s="18" t="inlineStr">
        <is>
          <t>테라스,프라이빗룸</t>
        </is>
      </c>
      <c r="W94" s="17" t="inlineStr">
        <is>
          <t>Claude(웹 수집)</t>
        </is>
      </c>
      <c r="X94" s="22" t="inlineStr">
        <is>
          <t>2026-10-21</t>
        </is>
      </c>
      <c r="Y94" s="18" t="inlineStr">
        <is>
          <t>https://www.diningcode.com/profile.php?rid=C36kJA8fsC07</t>
        </is>
      </c>
      <c r="Z94" s="18" t="inlineStr">
        <is>
          <t>초안(웹 수집). 현장 미확인 / 추정 칸: 머무는 시간·1인 지출·태그·지역 / 브레이크타임 15:00-17:00 / 라스트오더 14:00,20:30</t>
        </is>
      </c>
    </row>
    <row r="95">
      <c r="A95" s="16" t="inlineStr">
        <is>
          <t>store_093</t>
        </is>
      </c>
      <c r="B95" s="17" t="inlineStr">
        <is>
          <t>꼰뚜아</t>
        </is>
      </c>
      <c r="C95" s="17" t="inlineStr">
        <is>
          <t>식당</t>
        </is>
      </c>
      <c r="D95" s="17" t="inlineStr">
        <is>
          <t>동구 동명동</t>
        </is>
      </c>
      <c r="E95" s="18" t="inlineStr">
        <is>
          <t>광주광역시 동구 동명로 98 2층</t>
        </is>
      </c>
      <c r="F95" s="19" t="n"/>
      <c r="G95" s="19" t="n"/>
      <c r="H95" s="20" t="inlineStr">
        <is>
          <t>11:00</t>
        </is>
      </c>
      <c r="I95" s="20" t="inlineStr">
        <is>
          <t>21:00</t>
        </is>
      </c>
      <c r="J95" s="17" t="inlineStr">
        <is>
          <t>월</t>
        </is>
      </c>
      <c r="K95" s="17" t="n">
        <v>60</v>
      </c>
      <c r="L95" s="21" t="n">
        <v>21000</v>
      </c>
      <c r="M95" s="18" t="inlineStr">
        <is>
          <t>라자냐 21,000</t>
        </is>
      </c>
      <c r="N95" s="17" t="inlineStr">
        <is>
          <t>이탈리안</t>
        </is>
      </c>
      <c r="O95" s="17" t="n"/>
      <c r="P95" s="17" t="inlineStr">
        <is>
          <t>식사</t>
        </is>
      </c>
      <c r="Q95" s="17" t="inlineStr">
        <is>
          <t>현대적</t>
        </is>
      </c>
      <c r="R95" s="17" t="inlineStr">
        <is>
          <t>실내</t>
        </is>
      </c>
      <c r="S95" s="17" t="inlineStr">
        <is>
          <t>오전, 오후, 저녁</t>
        </is>
      </c>
      <c r="T95" s="17" t="n"/>
      <c r="U95" s="17" t="n"/>
      <c r="V95" s="18" t="inlineStr">
        <is>
          <t>수제 라구 라자냐, 예약가능</t>
        </is>
      </c>
      <c r="W95" s="17" t="inlineStr">
        <is>
          <t>Claude(웹 수집)</t>
        </is>
      </c>
      <c r="X95" s="22" t="inlineStr">
        <is>
          <t>2026-10-21</t>
        </is>
      </c>
      <c r="Y95" s="18" t="inlineStr">
        <is>
          <t>https://www.diningcode.com/profile.php?rid=8MV39dzHe8PF</t>
        </is>
      </c>
      <c r="Z95" s="18" t="inlineStr">
        <is>
          <t>초안(웹 수집). 현장 미확인 / 추정 칸: 머무는 시간·1인 지출·태그·지역 / 영업시간 참고: 블로그(2023) 기준 화~금. 토 12:00-21:00, 일 12:00-15:00 / 브레이크타임 15:00-17:00(2023 블로그) / 휴무 근거: 블로그</t>
        </is>
      </c>
    </row>
    <row r="96">
      <c r="A96" s="16" t="inlineStr">
        <is>
          <t>store_094</t>
        </is>
      </c>
      <c r="B96" s="17" t="inlineStr">
        <is>
          <t>돈부리바쇼 유메노덴</t>
        </is>
      </c>
      <c r="C96" s="17" t="inlineStr">
        <is>
          <t>식당</t>
        </is>
      </c>
      <c r="D96" s="17" t="inlineStr">
        <is>
          <t>동구 동명동</t>
        </is>
      </c>
      <c r="E96" s="18" t="inlineStr">
        <is>
          <t>광주 동구 동계천로 167-1 1층</t>
        </is>
      </c>
      <c r="F96" s="19" t="n"/>
      <c r="G96" s="19" t="n"/>
      <c r="H96" s="20" t="inlineStr">
        <is>
          <t>11:30</t>
        </is>
      </c>
      <c r="I96" s="20" t="inlineStr">
        <is>
          <t>21:00</t>
        </is>
      </c>
      <c r="J96" s="17" t="n"/>
      <c r="K96" s="17" t="n">
        <v>40</v>
      </c>
      <c r="L96" s="21" t="n">
        <v>14500</v>
      </c>
      <c r="M96" s="18" t="inlineStr">
        <is>
          <t>상하이파스타 18,000 / 사케동 17,000 / 에비가츠동 16,000 / 오야꼬동 13,000</t>
        </is>
      </c>
      <c r="N96" s="17" t="inlineStr">
        <is>
          <t>돈부리</t>
        </is>
      </c>
      <c r="O96" s="17" t="n"/>
      <c r="P96" s="17" t="inlineStr">
        <is>
          <t>식사</t>
        </is>
      </c>
      <c r="Q96" s="17" t="inlineStr">
        <is>
          <t>현대적</t>
        </is>
      </c>
      <c r="R96" s="17" t="inlineStr">
        <is>
          <t>실내</t>
        </is>
      </c>
      <c r="S96" s="17" t="inlineStr">
        <is>
          <t>오전, 오후, 저녁</t>
        </is>
      </c>
      <c r="T96" s="17" t="n"/>
      <c r="U96" s="17" t="n"/>
      <c r="V96" s="18" t="inlineStr">
        <is>
          <t>무료주차</t>
        </is>
      </c>
      <c r="W96" s="17" t="inlineStr">
        <is>
          <t>Claude(웹 수집)</t>
        </is>
      </c>
      <c r="X96" s="22" t="inlineStr">
        <is>
          <t>2026-10-21</t>
        </is>
      </c>
      <c r="Y96" s="18" t="inlineStr">
        <is>
          <t>https://www.diningcode.com/profile.php?rid=8Af6ed0brKGC</t>
        </is>
      </c>
      <c r="Z96" s="18" t="inlineStr">
        <is>
          <t>초안(웹 수집). 현장 미확인 / 추정 칸: 머무는 시간·1인 지출·태그·지역 / 라스트오더 20:30</t>
        </is>
      </c>
    </row>
    <row r="97">
      <c r="A97" s="16" t="inlineStr">
        <is>
          <t>store_095</t>
        </is>
      </c>
      <c r="B97" s="17" t="inlineStr">
        <is>
          <t>츠바메</t>
        </is>
      </c>
      <c r="C97" s="17" t="inlineStr">
        <is>
          <t>식당</t>
        </is>
      </c>
      <c r="D97" s="17" t="inlineStr">
        <is>
          <t>동구 동명동</t>
        </is>
      </c>
      <c r="E97" s="18" t="inlineStr">
        <is>
          <t>광주광역시 동구 동명로14번길 26 1층</t>
        </is>
      </c>
      <c r="F97" s="19" t="n"/>
      <c r="G97" s="19" t="n"/>
      <c r="H97" s="20" t="inlineStr">
        <is>
          <t>11:20</t>
        </is>
      </c>
      <c r="I97" s="20" t="inlineStr">
        <is>
          <t>22:00</t>
        </is>
      </c>
      <c r="J97" s="17" t="inlineStr">
        <is>
          <t>화</t>
        </is>
      </c>
      <c r="K97" s="17" t="n">
        <v>40</v>
      </c>
      <c r="L97" s="21" t="n">
        <v>12500</v>
      </c>
      <c r="M97" s="18" t="inlineStr">
        <is>
          <t>츠바메 텐동 11,000 / 에비 텐동 14,000 / 아나고텐동 16,500 / 스시 18,000</t>
        </is>
      </c>
      <c r="N97" s="17" t="inlineStr">
        <is>
          <t>텐동,초밥</t>
        </is>
      </c>
      <c r="O97" s="17" t="n"/>
      <c r="P97" s="17" t="inlineStr">
        <is>
          <t>식사</t>
        </is>
      </c>
      <c r="Q97" s="17" t="inlineStr">
        <is>
          <t>현대적</t>
        </is>
      </c>
      <c r="R97" s="17" t="inlineStr">
        <is>
          <t>실내</t>
        </is>
      </c>
      <c r="S97" s="17" t="inlineStr">
        <is>
          <t>오전, 오후, 저녁</t>
        </is>
      </c>
      <c r="T97" s="17" t="n"/>
      <c r="U97" s="17" t="n"/>
      <c r="V97" s="18" t="inlineStr">
        <is>
          <t>콜키지무료</t>
        </is>
      </c>
      <c r="W97" s="17" t="inlineStr">
        <is>
          <t>Claude(웹 수집)</t>
        </is>
      </c>
      <c r="X97" s="22" t="inlineStr">
        <is>
          <t>2026-10-21</t>
        </is>
      </c>
      <c r="Y97" s="18" t="inlineStr">
        <is>
          <t>https://www.diningcode.com/profile.php?rid=TwEzLYZ1zU4t</t>
        </is>
      </c>
      <c r="Z97" s="18" t="inlineStr">
        <is>
          <t>초안(웹 수집). 현장 미확인 / 추정 칸: 머무는 시간·1인 지출·태그·지역 / 브레이크타임 16:00-17:00 / 라스트오더 20:30</t>
        </is>
      </c>
    </row>
    <row r="98">
      <c r="A98" s="16" t="inlineStr">
        <is>
          <t>store_096</t>
        </is>
      </c>
      <c r="B98" s="17" t="inlineStr">
        <is>
          <t>하치스시 동명점</t>
        </is>
      </c>
      <c r="C98" s="17" t="inlineStr">
        <is>
          <t>식당</t>
        </is>
      </c>
      <c r="D98" s="17" t="inlineStr">
        <is>
          <t>동구 동명동</t>
        </is>
      </c>
      <c r="E98" s="18" t="inlineStr">
        <is>
          <t>전남광주통합특별시 동구 동명로 35 1층</t>
        </is>
      </c>
      <c r="F98" s="19" t="n"/>
      <c r="G98" s="19" t="n"/>
      <c r="H98" s="20" t="inlineStr">
        <is>
          <t>11:30</t>
        </is>
      </c>
      <c r="I98" s="20" t="inlineStr">
        <is>
          <t>21:00</t>
        </is>
      </c>
      <c r="J98" s="17" t="inlineStr">
        <is>
          <t>화</t>
        </is>
      </c>
      <c r="K98" s="17" t="n">
        <v>60</v>
      </c>
      <c r="L98" s="21" t="n">
        <v>25500</v>
      </c>
      <c r="M98" s="18" t="inlineStr">
        <is>
          <t>스시마츠 13p 30,000 / 스시타케 12p 25,000 / 사사미모리 12p 26,000</t>
        </is>
      </c>
      <c r="N98" s="17" t="inlineStr">
        <is>
          <t>스시</t>
        </is>
      </c>
      <c r="O98" s="17" t="n"/>
      <c r="P98" s="17" t="inlineStr">
        <is>
          <t>식사</t>
        </is>
      </c>
      <c r="Q98" s="17" t="inlineStr">
        <is>
          <t>현대적</t>
        </is>
      </c>
      <c r="R98" s="17" t="inlineStr">
        <is>
          <t>실내</t>
        </is>
      </c>
      <c r="S98" s="17" t="inlineStr">
        <is>
          <t>오전, 오후, 저녁</t>
        </is>
      </c>
      <c r="T98" s="17" t="n"/>
      <c r="U98" s="17" t="n"/>
      <c r="V98" s="18" t="inlineStr">
        <is>
          <t>판초밥</t>
        </is>
      </c>
      <c r="W98" s="17" t="inlineStr">
        <is>
          <t>Claude(웹 수집)</t>
        </is>
      </c>
      <c r="X98" s="22" t="inlineStr">
        <is>
          <t>2026-10-21</t>
        </is>
      </c>
      <c r="Y98" s="18" t="inlineStr">
        <is>
          <t>https://www.diningcode.com/profile.php?rid=LytmSUhD0hbr</t>
        </is>
      </c>
      <c r="Z98" s="18" t="inlineStr">
        <is>
          <t>초안(웹 수집). 현장 미확인 / 추정 칸: 머무는 시간·1인 지출·태그·지역 / 브레이크타임 15:00-17:30 / 라스트오더 14:30,20:30</t>
        </is>
      </c>
    </row>
    <row r="99">
      <c r="A99" s="16" t="inlineStr">
        <is>
          <t>store_097</t>
        </is>
      </c>
      <c r="B99" s="17" t="inlineStr">
        <is>
          <t>연어쁘다</t>
        </is>
      </c>
      <c r="C99" s="17" t="inlineStr">
        <is>
          <t>식당</t>
        </is>
      </c>
      <c r="D99" s="17" t="inlineStr">
        <is>
          <t>동구 동명동</t>
        </is>
      </c>
      <c r="E99" s="18" t="inlineStr">
        <is>
          <t>광주광역시 동구 동계천로 163 2층</t>
        </is>
      </c>
      <c r="F99" s="19" t="n"/>
      <c r="G99" s="19" t="n"/>
      <c r="H99" s="20" t="inlineStr">
        <is>
          <t>11:30</t>
        </is>
      </c>
      <c r="I99" s="20" t="inlineStr">
        <is>
          <t>21:00</t>
        </is>
      </c>
      <c r="J99" s="17" t="n"/>
      <c r="K99" s="17" t="n">
        <v>60</v>
      </c>
      <c r="L99" s="21" t="n">
        <v>16500</v>
      </c>
      <c r="M99" s="18" t="inlineStr">
        <is>
          <t>연어국수 21,000 / 연어크림치즈파스타 17,000 / 우삼겹묵은지파스타 16,000</t>
        </is>
      </c>
      <c r="N99" s="17" t="inlineStr">
        <is>
          <t>연어,파스타</t>
        </is>
      </c>
      <c r="O99" s="17" t="n"/>
      <c r="P99" s="17" t="inlineStr">
        <is>
          <t>식사</t>
        </is>
      </c>
      <c r="Q99" s="17" t="inlineStr">
        <is>
          <t>현대적</t>
        </is>
      </c>
      <c r="R99" s="17" t="inlineStr">
        <is>
          <t>실내</t>
        </is>
      </c>
      <c r="S99" s="17" t="inlineStr">
        <is>
          <t>오전, 오후, 저녁</t>
        </is>
      </c>
      <c r="T99" s="17" t="n"/>
      <c r="U99" s="17" t="n"/>
      <c r="V99" s="18" t="inlineStr">
        <is>
          <t>무료주차</t>
        </is>
      </c>
      <c r="W99" s="17" t="inlineStr">
        <is>
          <t>Claude(웹 수집)</t>
        </is>
      </c>
      <c r="X99" s="22" t="inlineStr">
        <is>
          <t>2026-10-21</t>
        </is>
      </c>
      <c r="Y99" s="18" t="inlineStr">
        <is>
          <t>https://www.diningcode.com/profile.php?rid=8k63BvsDCo3t</t>
        </is>
      </c>
      <c r="Z99" s="18" t="inlineStr">
        <is>
          <t>초안(웹 수집). 현장 미확인 / 추정 칸: 머무는 시간·1인 지출·태그·지역 / 브레이크타임 15:00-17:00 / 라스트오더 20:00 / 휴무 확인 필요(연중무휴(태그))</t>
        </is>
      </c>
    </row>
    <row r="100">
      <c r="A100" s="16" t="inlineStr">
        <is>
          <t>store_098</t>
        </is>
      </c>
      <c r="B100" s="17" t="inlineStr">
        <is>
          <t>호시마츠라멘</t>
        </is>
      </c>
      <c r="C100" s="17" t="inlineStr">
        <is>
          <t>식당</t>
        </is>
      </c>
      <c r="D100" s="17" t="inlineStr">
        <is>
          <t>동구 동명동</t>
        </is>
      </c>
      <c r="E100" s="18" t="inlineStr">
        <is>
          <t>광주광역시 동구 제봉로110번길 15</t>
        </is>
      </c>
      <c r="F100" s="19" t="n"/>
      <c r="G100" s="19" t="n"/>
      <c r="H100" s="20" t="inlineStr">
        <is>
          <t>10:00</t>
        </is>
      </c>
      <c r="I100" s="20" t="inlineStr">
        <is>
          <t>22:00</t>
        </is>
      </c>
      <c r="J100" s="17" t="n"/>
      <c r="K100" s="17" t="n">
        <v>40</v>
      </c>
      <c r="L100" s="21" t="n">
        <v>10000</v>
      </c>
      <c r="M100" s="18" t="inlineStr">
        <is>
          <t>카라호시라멘 10,000 / 호시라멘 10,000 / 토리 히야시라멘 13,000</t>
        </is>
      </c>
      <c r="N100" s="17" t="inlineStr">
        <is>
          <t>라멘</t>
        </is>
      </c>
      <c r="O100" s="17" t="n"/>
      <c r="P100" s="17" t="inlineStr">
        <is>
          <t>식사</t>
        </is>
      </c>
      <c r="Q100" s="17" t="inlineStr">
        <is>
          <t>현대적</t>
        </is>
      </c>
      <c r="R100" s="17" t="inlineStr">
        <is>
          <t>실내</t>
        </is>
      </c>
      <c r="S100" s="17" t="inlineStr">
        <is>
          <t>오전, 오후, 저녁</t>
        </is>
      </c>
      <c r="T100" s="17" t="n"/>
      <c r="U100" s="17" t="n"/>
      <c r="V100" s="18" t="inlineStr">
        <is>
          <t>돈코츠</t>
        </is>
      </c>
      <c r="W100" s="17" t="inlineStr">
        <is>
          <t>Claude(웹 수집)</t>
        </is>
      </c>
      <c r="X100" s="22" t="inlineStr">
        <is>
          <t>2026-10-21</t>
        </is>
      </c>
      <c r="Y100" s="18" t="inlineStr">
        <is>
          <t>https://www.diningcode.com/profile.php?rid=4vEW39a3z234</t>
        </is>
      </c>
      <c r="Z100" s="18" t="inlineStr">
        <is>
          <t>초안(웹 수집). 현장 미확인 / 추정 칸: 머무는 시간·1인 지출·태그·지역</t>
        </is>
      </c>
    </row>
    <row r="101">
      <c r="A101" s="16" t="inlineStr">
        <is>
          <t>store_099</t>
        </is>
      </c>
      <c r="B101" s="17" t="inlineStr">
        <is>
          <t>한식당 우</t>
        </is>
      </c>
      <c r="C101" s="17" t="inlineStr">
        <is>
          <t>야간 콘텐츠</t>
        </is>
      </c>
      <c r="D101" s="17" t="inlineStr">
        <is>
          <t>동구 동명동</t>
        </is>
      </c>
      <c r="E101" s="18" t="inlineStr">
        <is>
          <t>광주광역시 동구 동명로25번길 9-1</t>
        </is>
      </c>
      <c r="F101" s="19" t="n"/>
      <c r="G101" s="19" t="n"/>
      <c r="H101" s="20" t="inlineStr">
        <is>
          <t>17:00</t>
        </is>
      </c>
      <c r="I101" s="20" t="inlineStr">
        <is>
          <t>24:00</t>
        </is>
      </c>
      <c r="J101" s="17" t="inlineStr">
        <is>
          <t>화</t>
        </is>
      </c>
      <c r="K101" s="17" t="n">
        <v>90</v>
      </c>
      <c r="L101" s="21" t="n">
        <v>18000</v>
      </c>
      <c r="M101" s="18" t="inlineStr">
        <is>
          <t>소고기 아롱사태전골 26,000 / 대패삼겹 순두부전골 24,000 / 아롱사태쌀국수 12,000</t>
        </is>
      </c>
      <c r="N101" s="17" t="inlineStr">
        <is>
          <t>한식주점</t>
        </is>
      </c>
      <c r="O101" s="17" t="n"/>
      <c r="P101" s="17" t="inlineStr">
        <is>
          <t>술, 식사</t>
        </is>
      </c>
      <c r="Q101" s="17" t="inlineStr">
        <is>
          <t>활기찬</t>
        </is>
      </c>
      <c r="R101" s="17" t="inlineStr">
        <is>
          <t>실내</t>
        </is>
      </c>
      <c r="S101" s="17" t="inlineStr">
        <is>
          <t>오후, 저녁, 밤</t>
        </is>
      </c>
      <c r="T101" s="17" t="n"/>
      <c r="U101" s="17" t="n"/>
      <c r="V101" s="18" t="inlineStr">
        <is>
          <t>전통주 메뉴 다수</t>
        </is>
      </c>
      <c r="W101" s="17" t="inlineStr">
        <is>
          <t>Claude(웹 수집)</t>
        </is>
      </c>
      <c r="X101" s="22" t="inlineStr">
        <is>
          <t>2026-10-21</t>
        </is>
      </c>
      <c r="Y101" s="18" t="inlineStr">
        <is>
          <t>https://www.diningcode.com/profile.php?rid=ONZQINNcuiyv</t>
        </is>
      </c>
      <c r="Z101" s="18" t="inlineStr">
        <is>
          <t>초안(웹 수집). 현장 미확인 / 추정 칸: 머무는 시간·1인 지출·태그·지역</t>
        </is>
      </c>
    </row>
    <row r="102">
      <c r="A102" s="16" t="inlineStr">
        <is>
          <t>store_100</t>
        </is>
      </c>
      <c r="B102" s="17" t="inlineStr">
        <is>
          <t>남동숯불갈비</t>
        </is>
      </c>
      <c r="C102" s="17" t="inlineStr">
        <is>
          <t>식당</t>
        </is>
      </c>
      <c r="D102" s="17" t="inlineStr">
        <is>
          <t>동구</t>
        </is>
      </c>
      <c r="E102" s="18" t="inlineStr">
        <is>
          <t>광주광역시 동구 무등로384번길 5</t>
        </is>
      </c>
      <c r="F102" s="19" t="n"/>
      <c r="G102" s="19" t="n"/>
      <c r="H102" s="20" t="inlineStr">
        <is>
          <t>16:00</t>
        </is>
      </c>
      <c r="I102" s="20" t="inlineStr">
        <is>
          <t>21:30</t>
        </is>
      </c>
      <c r="J102" s="17" t="inlineStr">
        <is>
          <t>월</t>
        </is>
      </c>
      <c r="K102" s="17" t="n">
        <v>80</v>
      </c>
      <c r="L102" s="21" t="n">
        <v>15500</v>
      </c>
      <c r="M102" s="18" t="inlineStr">
        <is>
          <t>돼지갈비 17,000 / 마늘생갈비포장 37,000 / 삼겹살 14,000</t>
        </is>
      </c>
      <c r="N102" s="17" t="inlineStr">
        <is>
          <t>돼지갈비,마늘갈비</t>
        </is>
      </c>
      <c r="O102" s="17" t="n"/>
      <c r="P102" s="17" t="inlineStr">
        <is>
          <t>식사</t>
        </is>
      </c>
      <c r="Q102" s="17" t="inlineStr">
        <is>
          <t>서민적</t>
        </is>
      </c>
      <c r="R102" s="17" t="inlineStr">
        <is>
          <t>실내</t>
        </is>
      </c>
      <c r="S102" s="17" t="inlineStr">
        <is>
          <t>오후, 저녁</t>
        </is>
      </c>
      <c r="T102" s="17" t="n"/>
      <c r="U102" s="17" t="n"/>
      <c r="V102" s="18" t="inlineStr">
        <is>
          <t>숯불,노포,무료주차</t>
        </is>
      </c>
      <c r="W102" s="17" t="inlineStr">
        <is>
          <t>Claude(웹 수집)</t>
        </is>
      </c>
      <c r="X102" s="22" t="inlineStr">
        <is>
          <t>2026-10-21</t>
        </is>
      </c>
      <c r="Y102" s="18" t="inlineStr">
        <is>
          <t>https://www.diningcode.com/profile.php?rid=NltxwpNKqf0B</t>
        </is>
      </c>
      <c r="Z102" s="18" t="inlineStr">
        <is>
          <t>초안(웹 수집). 현장 미확인 / 추정 칸: 머무는 시간·1인 지출·태그·지역 / 영업시간 참고: 화~금 기준. 토·일 11:00-21:00 / 브레이크타임 토일 14:00-16:00</t>
        </is>
      </c>
    </row>
    <row r="103">
      <c r="A103" s="16" t="inlineStr">
        <is>
          <t>store_101</t>
        </is>
      </c>
      <c r="B103" s="17" t="inlineStr">
        <is>
          <t>남광주사계절맛집</t>
        </is>
      </c>
      <c r="C103" s="17" t="inlineStr">
        <is>
          <t>식당</t>
        </is>
      </c>
      <c r="D103" s="17" t="inlineStr">
        <is>
          <t>동구</t>
        </is>
      </c>
      <c r="E103" s="18" t="inlineStr">
        <is>
          <t>광주광역시 동구 양림로 117</t>
        </is>
      </c>
      <c r="F103" s="19" t="n"/>
      <c r="G103" s="19" t="n"/>
      <c r="H103" s="20" t="n"/>
      <c r="I103" s="20" t="n"/>
      <c r="J103" s="17" t="n"/>
      <c r="K103" s="17" t="n">
        <v>60</v>
      </c>
      <c r="L103" s="21" t="n">
        <v>12500</v>
      </c>
      <c r="M103" s="18" t="inlineStr">
        <is>
          <t>장어탕 10,000 / 조기탕 15,000 / 낙지볶음 중 30,000</t>
        </is>
      </c>
      <c r="N103" s="17" t="inlineStr">
        <is>
          <t>장어탕</t>
        </is>
      </c>
      <c r="O103" s="17" t="n"/>
      <c r="P103" s="17" t="inlineStr">
        <is>
          <t>식사</t>
        </is>
      </c>
      <c r="Q103" s="17" t="inlineStr">
        <is>
          <t>현대적</t>
        </is>
      </c>
      <c r="R103" s="17" t="inlineStr">
        <is>
          <t>실내</t>
        </is>
      </c>
      <c r="S103" s="17" t="n"/>
      <c r="T103" s="17" t="n"/>
      <c r="U103" s="17" t="n"/>
      <c r="V103" s="18" t="n"/>
      <c r="W103" s="17" t="inlineStr">
        <is>
          <t>Claude(웹 수집)</t>
        </is>
      </c>
      <c r="X103" s="22" t="inlineStr">
        <is>
          <t>2026-10-21</t>
        </is>
      </c>
      <c r="Y103" s="18" t="inlineStr">
        <is>
          <t>https://www.diningcode.com/profile.php?rid=Tdw3i1AZTmHI</t>
        </is>
      </c>
      <c r="Z103" s="18" t="inlineStr">
        <is>
          <t>초안(웹 수집). 현장 미확인 / 추정 칸: 머무는 시간·1인 지출·태그·지역 / 영업시간 확인 필요(확인 필요)</t>
        </is>
      </c>
    </row>
    <row r="104">
      <c r="A104" s="16" t="inlineStr">
        <is>
          <t>store_102</t>
        </is>
      </c>
      <c r="B104" s="17" t="inlineStr">
        <is>
          <t>굿바이로맨스</t>
        </is>
      </c>
      <c r="C104" s="17" t="inlineStr">
        <is>
          <t>카페·디저트</t>
        </is>
      </c>
      <c r="D104" s="17" t="inlineStr">
        <is>
          <t>동구</t>
        </is>
      </c>
      <c r="E104" s="18" t="inlineStr">
        <is>
          <t>광주광역시 동구 경양로 369-1</t>
        </is>
      </c>
      <c r="F104" s="19" t="n"/>
      <c r="G104" s="19" t="n"/>
      <c r="H104" s="20" t="inlineStr">
        <is>
          <t>10:30</t>
        </is>
      </c>
      <c r="I104" s="20" t="inlineStr">
        <is>
          <t>16:00</t>
        </is>
      </c>
      <c r="J104" s="17" t="inlineStr">
        <is>
          <t>일</t>
        </is>
      </c>
      <c r="K104" s="17" t="n">
        <v>60</v>
      </c>
      <c r="L104" s="21" t="n">
        <v>14500</v>
      </c>
      <c r="M104" s="18" t="inlineStr">
        <is>
          <t>스페셜티 핸드드립 10,000 / 드립페어링 19,000</t>
        </is>
      </c>
      <c r="N104" s="17" t="inlineStr">
        <is>
          <t>카페,디저트</t>
        </is>
      </c>
      <c r="O104" s="17" t="n"/>
      <c r="P104" s="17" t="inlineStr">
        <is>
          <t>카페·디저트</t>
        </is>
      </c>
      <c r="Q104" s="17" t="inlineStr">
        <is>
          <t>감성적</t>
        </is>
      </c>
      <c r="R104" s="17" t="inlineStr">
        <is>
          <t>실내</t>
        </is>
      </c>
      <c r="S104" s="17" t="inlineStr">
        <is>
          <t>오전, 오후</t>
        </is>
      </c>
      <c r="T104" s="17" t="n"/>
      <c r="U104" s="17" t="n"/>
      <c r="V104" s="18" t="inlineStr">
        <is>
          <t>엔틱 로스터리</t>
        </is>
      </c>
      <c r="W104" s="17" t="inlineStr">
        <is>
          <t>Claude(웹 수집)</t>
        </is>
      </c>
      <c r="X104" s="22" t="inlineStr">
        <is>
          <t>2026-10-21</t>
        </is>
      </c>
      <c r="Y104" s="18" t="inlineStr">
        <is>
          <t>https://www.diningcode.com/profile.php?rid=E53IQjuVtoMm</t>
        </is>
      </c>
      <c r="Z104" s="18" t="inlineStr">
        <is>
          <t>초안(웹 수집). 현장 미확인 / 추정 칸: 머무는 시간·1인 지출·태그·지역 / 영업시간 참고: 토요일 17:00까지</t>
        </is>
      </c>
    </row>
    <row r="105">
      <c r="A105" s="16" t="inlineStr">
        <is>
          <t>store_103</t>
        </is>
      </c>
      <c r="B105" s="17" t="inlineStr">
        <is>
          <t>스모모</t>
        </is>
      </c>
      <c r="C105" s="17" t="inlineStr">
        <is>
          <t>카페·디저트</t>
        </is>
      </c>
      <c r="D105" s="17" t="inlineStr">
        <is>
          <t>동구</t>
        </is>
      </c>
      <c r="E105" s="18" t="inlineStr">
        <is>
          <t>광주광역시 동구 학소로106번길 13-24 1층</t>
        </is>
      </c>
      <c r="F105" s="19" t="n"/>
      <c r="G105" s="19" t="n"/>
      <c r="H105" s="20" t="inlineStr">
        <is>
          <t>09:00</t>
        </is>
      </c>
      <c r="I105" s="20" t="inlineStr">
        <is>
          <t>19:00</t>
        </is>
      </c>
      <c r="J105" s="17" t="n"/>
      <c r="K105" s="17" t="n">
        <v>60</v>
      </c>
      <c r="L105" s="21" t="n">
        <v>5500</v>
      </c>
      <c r="M105" s="18" t="inlineStr">
        <is>
          <t>커스타드 푸딩 4,500 / 말렌카케이크 코코아맛 6,500</t>
        </is>
      </c>
      <c r="N105" s="17" t="inlineStr">
        <is>
          <t>카페,일본감성</t>
        </is>
      </c>
      <c r="O105" s="17" t="n"/>
      <c r="P105" s="17" t="inlineStr">
        <is>
          <t>카페·디저트</t>
        </is>
      </c>
      <c r="Q105" s="17" t="inlineStr">
        <is>
          <t>감성적</t>
        </is>
      </c>
      <c r="R105" s="17" t="inlineStr">
        <is>
          <t>실내</t>
        </is>
      </c>
      <c r="S105" s="17" t="inlineStr">
        <is>
          <t>오전, 오후, 저녁</t>
        </is>
      </c>
      <c r="T105" s="17" t="n"/>
      <c r="U105" s="17" t="n"/>
      <c r="V105" s="18" t="n"/>
      <c r="W105" s="17" t="inlineStr">
        <is>
          <t>Claude(웹 수집)</t>
        </is>
      </c>
      <c r="X105" s="22" t="inlineStr">
        <is>
          <t>2026-10-21</t>
        </is>
      </c>
      <c r="Y105" s="18" t="inlineStr">
        <is>
          <t>https://www.diningcode.com/profile.php?rid=lV40xXGhOykv</t>
        </is>
      </c>
      <c r="Z105" s="18" t="inlineStr">
        <is>
          <t>초안(웹 수집). 현장 미확인 / 추정 칸: 머무는 시간·1인 지출·태그·지역</t>
        </is>
      </c>
    </row>
    <row r="106">
      <c r="A106" s="16" t="inlineStr">
        <is>
          <t>store_104</t>
        </is>
      </c>
      <c r="B106" s="17" t="inlineStr">
        <is>
          <t>치치하하</t>
        </is>
      </c>
      <c r="C106" s="17" t="inlineStr">
        <is>
          <t>카페·디저트</t>
        </is>
      </c>
      <c r="D106" s="17" t="inlineStr">
        <is>
          <t>동구</t>
        </is>
      </c>
      <c r="E106" s="18" t="inlineStr">
        <is>
          <t>광주광역시 동구 경양로 350 1층</t>
        </is>
      </c>
      <c r="F106" s="19" t="n"/>
      <c r="G106" s="19" t="n"/>
      <c r="H106" s="20" t="inlineStr">
        <is>
          <t>10:00</t>
        </is>
      </c>
      <c r="I106" s="20" t="inlineStr">
        <is>
          <t>18:00</t>
        </is>
      </c>
      <c r="J106" s="17" t="inlineStr">
        <is>
          <t>일</t>
        </is>
      </c>
      <c r="K106" s="17" t="n">
        <v>60</v>
      </c>
      <c r="L106" s="21" t="n">
        <v>5000</v>
      </c>
      <c r="M106" s="18" t="inlineStr">
        <is>
          <t>아메리카노 4,500 / 라떼 5,000 / 아인슈페너 5,500</t>
        </is>
      </c>
      <c r="N106" s="17" t="inlineStr">
        <is>
          <t>카페,커피</t>
        </is>
      </c>
      <c r="O106" s="17" t="n"/>
      <c r="P106" s="17" t="inlineStr">
        <is>
          <t>카페·디저트</t>
        </is>
      </c>
      <c r="Q106" s="17" t="inlineStr">
        <is>
          <t>조용한</t>
        </is>
      </c>
      <c r="R106" s="17" t="inlineStr">
        <is>
          <t>실내</t>
        </is>
      </c>
      <c r="S106" s="17" t="inlineStr">
        <is>
          <t>오전, 오후</t>
        </is>
      </c>
      <c r="T106" s="17" t="n"/>
      <c r="U106" s="17" t="n"/>
      <c r="V106" s="18" t="inlineStr">
        <is>
          <t>개업 2018(블로그). 혼카페,조용한</t>
        </is>
      </c>
      <c r="W106" s="17" t="inlineStr">
        <is>
          <t>Claude(웹 수집)</t>
        </is>
      </c>
      <c r="X106" s="22" t="inlineStr">
        <is>
          <t>2026-10-21</t>
        </is>
      </c>
      <c r="Y106" s="18" t="inlineStr">
        <is>
          <t>https://www.diningcode.com/profile.php?rid=Hq5Uzc8bofmq</t>
        </is>
      </c>
      <c r="Z106" s="18" t="inlineStr">
        <is>
          <t>초안(웹 수집). 현장 미확인 / 추정 칸: 머무는 시간·1인 지출·태그·지역 / 영업시간 참고: 토요일 11:00-19:00</t>
        </is>
      </c>
    </row>
    <row r="107">
      <c r="A107" s="16" t="inlineStr">
        <is>
          <t>store_105</t>
        </is>
      </c>
      <c r="B107" s="17" t="inlineStr">
        <is>
          <t>남광주시장 종합음식점</t>
        </is>
      </c>
      <c r="C107" s="17" t="inlineStr">
        <is>
          <t>식당</t>
        </is>
      </c>
      <c r="D107" s="17" t="inlineStr">
        <is>
          <t>동구 대인동</t>
        </is>
      </c>
      <c r="E107" s="18" t="inlineStr">
        <is>
          <t>광주광역시 동구 제봉로17번길 4-1</t>
        </is>
      </c>
      <c r="F107" s="19" t="n"/>
      <c r="G107" s="19" t="n"/>
      <c r="H107" s="20" t="n"/>
      <c r="I107" s="20" t="n"/>
      <c r="J107" s="17" t="n"/>
      <c r="K107" s="17" t="n">
        <v>40</v>
      </c>
      <c r="L107" s="21" t="n">
        <v>8000</v>
      </c>
      <c r="M107" s="18" t="inlineStr">
        <is>
          <t>순대국밥 8,000</t>
        </is>
      </c>
      <c r="N107" s="17" t="inlineStr">
        <is>
          <t>국밥,추어탕</t>
        </is>
      </c>
      <c r="O107" s="17" t="n"/>
      <c r="P107" s="17" t="inlineStr">
        <is>
          <t>식사</t>
        </is>
      </c>
      <c r="Q107" s="17" t="inlineStr">
        <is>
          <t>서민적</t>
        </is>
      </c>
      <c r="R107" s="17" t="inlineStr">
        <is>
          <t>실내</t>
        </is>
      </c>
      <c r="S107" s="17" t="n"/>
      <c r="T107" s="17" t="n"/>
      <c r="U107" s="17" t="n"/>
      <c r="V107" s="18" t="n"/>
      <c r="W107" s="17" t="inlineStr">
        <is>
          <t>Claude(웹 수집)</t>
        </is>
      </c>
      <c r="X107" s="22" t="inlineStr">
        <is>
          <t>2026-10-21</t>
        </is>
      </c>
      <c r="Y107" s="18" t="inlineStr">
        <is>
          <t>https://www.diningcode.com/profile.php?rid=nXRKpDzf2FPu</t>
        </is>
      </c>
      <c r="Z107" s="18" t="inlineStr">
        <is>
          <t>초안(웹 수집). 현장 미확인 / 추정 칸: 머무는 시간·1인 지출·태그·지역 / 영업시간 확인 필요(확인 필요)</t>
        </is>
      </c>
    </row>
    <row r="108">
      <c r="A108" s="16" t="inlineStr">
        <is>
          <t>store_106</t>
        </is>
      </c>
      <c r="B108" s="17" t="inlineStr">
        <is>
          <t>대인시장독도횟집</t>
        </is>
      </c>
      <c r="C108" s="17" t="inlineStr">
        <is>
          <t>식당</t>
        </is>
      </c>
      <c r="D108" s="17" t="inlineStr">
        <is>
          <t>동구 대인동</t>
        </is>
      </c>
      <c r="E108" s="18" t="inlineStr">
        <is>
          <t>광주광역시 동구 동계천로 67</t>
        </is>
      </c>
      <c r="F108" s="19" t="n"/>
      <c r="G108" s="19" t="n"/>
      <c r="H108" s="20" t="inlineStr">
        <is>
          <t>11:00</t>
        </is>
      </c>
      <c r="I108" s="20" t="inlineStr">
        <is>
          <t>21:30</t>
        </is>
      </c>
      <c r="J108" s="17" t="n"/>
      <c r="K108" s="17" t="n">
        <v>80</v>
      </c>
      <c r="L108" s="21" t="n">
        <v>20000</v>
      </c>
      <c r="M108" s="18" t="inlineStr">
        <is>
          <t>광어회 2인 100,000 / 생우럭탕 3인 60,000 / 회덮밥 20,000</t>
        </is>
      </c>
      <c r="N108" s="17" t="inlineStr">
        <is>
          <t>횟집</t>
        </is>
      </c>
      <c r="O108" s="17" t="n"/>
      <c r="P108" s="17" t="inlineStr">
        <is>
          <t>식사</t>
        </is>
      </c>
      <c r="Q108" s="17" t="inlineStr">
        <is>
          <t>서민적</t>
        </is>
      </c>
      <c r="R108" s="17" t="inlineStr">
        <is>
          <t>실내</t>
        </is>
      </c>
      <c r="S108" s="17" t="inlineStr">
        <is>
          <t>오전, 오후, 저녁</t>
        </is>
      </c>
      <c r="T108" s="17" t="n"/>
      <c r="U108" s="17" t="n"/>
      <c r="V108" s="18" t="inlineStr">
        <is>
          <t>개업 1996(블로그)</t>
        </is>
      </c>
      <c r="W108" s="17" t="inlineStr">
        <is>
          <t>Claude(웹 수집)</t>
        </is>
      </c>
      <c r="X108" s="22" t="inlineStr">
        <is>
          <t>2026-10-21</t>
        </is>
      </c>
      <c r="Y108" s="18" t="inlineStr">
        <is>
          <t>https://www.diningcode.com/profile.php?rid=w65R8sd2QGKa</t>
        </is>
      </c>
      <c r="Z108" s="18" t="inlineStr">
        <is>
          <t>초안(웹 수집). 현장 미확인 / 추정 칸: 머무는 시간·1인 지출·태그·지역 / 라스트오더 20:30</t>
        </is>
      </c>
    </row>
    <row r="109">
      <c r="A109" s="16" t="inlineStr">
        <is>
          <t>store_107</t>
        </is>
      </c>
      <c r="B109" s="17" t="inlineStr">
        <is>
          <t>남광주음식점</t>
        </is>
      </c>
      <c r="C109" s="17" t="inlineStr">
        <is>
          <t>식당</t>
        </is>
      </c>
      <c r="D109" s="17" t="inlineStr">
        <is>
          <t>동구 대인동</t>
        </is>
      </c>
      <c r="E109" s="18" t="inlineStr">
        <is>
          <t>광주광역시 동구 제봉로17번길 12-5</t>
        </is>
      </c>
      <c r="F109" s="19" t="n"/>
      <c r="G109" s="19" t="n"/>
      <c r="H109" s="20" t="n"/>
      <c r="I109" s="20" t="n"/>
      <c r="J109" s="17" t="n"/>
      <c r="K109" s="17" t="n">
        <v>40</v>
      </c>
      <c r="L109" s="21" t="n">
        <v>7000</v>
      </c>
      <c r="M109" s="18" t="inlineStr">
        <is>
          <t>모듬국밥 7,000 / 머리국밥 7,000 / 막창국밥 8,000</t>
        </is>
      </c>
      <c r="N109" s="17" t="inlineStr">
        <is>
          <t>순대국밥</t>
        </is>
      </c>
      <c r="O109" s="17" t="n"/>
      <c r="P109" s="17" t="inlineStr">
        <is>
          <t>식사</t>
        </is>
      </c>
      <c r="Q109" s="17" t="inlineStr">
        <is>
          <t>서민적</t>
        </is>
      </c>
      <c r="R109" s="17" t="inlineStr">
        <is>
          <t>실내</t>
        </is>
      </c>
      <c r="S109" s="17" t="n"/>
      <c r="T109" s="17" t="n"/>
      <c r="U109" s="17" t="n"/>
      <c r="V109" s="18" t="n"/>
      <c r="W109" s="17" t="inlineStr">
        <is>
          <t>Claude(웹 수집)</t>
        </is>
      </c>
      <c r="X109" s="22" t="inlineStr">
        <is>
          <t>2026-10-21</t>
        </is>
      </c>
      <c r="Y109" s="18" t="inlineStr">
        <is>
          <t>https://www.diningcode.com/profile.php?rid=IOQd59LBMHYK</t>
        </is>
      </c>
      <c r="Z109" s="18" t="inlineStr">
        <is>
          <t>초안(웹 수집). 현장 미확인 / 추정 칸: 머무는 시간·1인 지출·태그·지역 / 영업시간 확인 필요(확인 필요)</t>
        </is>
      </c>
    </row>
    <row r="110">
      <c r="A110" s="16" t="inlineStr">
        <is>
          <t>store_108</t>
        </is>
      </c>
      <c r="B110" s="17" t="inlineStr">
        <is>
          <t>시장원조튀김</t>
        </is>
      </c>
      <c r="C110" s="17" t="inlineStr">
        <is>
          <t>식당</t>
        </is>
      </c>
      <c r="D110" s="17" t="inlineStr">
        <is>
          <t>동구 대인동</t>
        </is>
      </c>
      <c r="E110" s="18" t="inlineStr">
        <is>
          <t>광주광역시 동구 동계천로 56-3</t>
        </is>
      </c>
      <c r="F110" s="19" t="n"/>
      <c r="G110" s="19" t="n"/>
      <c r="H110" s="20" t="n"/>
      <c r="I110" s="20" t="n"/>
      <c r="J110" s="17" t="n"/>
      <c r="K110" s="17" t="n">
        <v>60</v>
      </c>
      <c r="L110" s="21" t="n">
        <v>10000</v>
      </c>
      <c r="M110" s="18" t="inlineStr">
        <is>
          <t>튀김 10,000</t>
        </is>
      </c>
      <c r="N110" s="17" t="inlineStr">
        <is>
          <t>튀김,고추튀김</t>
        </is>
      </c>
      <c r="O110" s="17" t="n"/>
      <c r="P110" s="17" t="inlineStr">
        <is>
          <t>식사</t>
        </is>
      </c>
      <c r="Q110" s="17" t="inlineStr">
        <is>
          <t>서민적</t>
        </is>
      </c>
      <c r="R110" s="17" t="inlineStr">
        <is>
          <t>실내</t>
        </is>
      </c>
      <c r="S110" s="17" t="n"/>
      <c r="T110" s="17" t="n"/>
      <c r="U110" s="17" t="n"/>
      <c r="V110" s="18" t="inlineStr">
        <is>
          <t>대인시장 내</t>
        </is>
      </c>
      <c r="W110" s="17" t="inlineStr">
        <is>
          <t>Claude(웹 수집)</t>
        </is>
      </c>
      <c r="X110" s="22" t="inlineStr">
        <is>
          <t>2026-10-21</t>
        </is>
      </c>
      <c r="Y110" s="18" t="inlineStr">
        <is>
          <t>https://www.diningcode.com/profile.php?rid=LeXn06aDKFpG</t>
        </is>
      </c>
      <c r="Z110" s="18" t="inlineStr">
        <is>
          <t>초안(웹 수집). 현장 미확인 / 추정 칸: 머무는 시간·1인 지출·태그·지역 / 영업시간 확인 필요(확인 필요)</t>
        </is>
      </c>
    </row>
    <row r="111">
      <c r="A111" s="16" t="inlineStr">
        <is>
          <t>store_109</t>
        </is>
      </c>
      <c r="B111" s="17" t="inlineStr">
        <is>
          <t>해남식당</t>
        </is>
      </c>
      <c r="C111" s="17" t="inlineStr">
        <is>
          <t>식당</t>
        </is>
      </c>
      <c r="D111" s="17" t="inlineStr">
        <is>
          <t>동구 대인동</t>
        </is>
      </c>
      <c r="E111" s="18" t="inlineStr">
        <is>
          <t>광주광역시 동구 제봉로200번길 10</t>
        </is>
      </c>
      <c r="F111" s="19" t="n"/>
      <c r="G111" s="19" t="n"/>
      <c r="H111" s="20" t="n"/>
      <c r="I111" s="20" t="n"/>
      <c r="J111" s="17" t="n"/>
      <c r="K111" s="17" t="n">
        <v>60</v>
      </c>
      <c r="L111" s="21" t="n"/>
      <c r="M111" s="18" t="inlineStr">
        <is>
          <t>조개해장국(가격 없음)</t>
        </is>
      </c>
      <c r="N111" s="17" t="inlineStr">
        <is>
          <t>백합,조개</t>
        </is>
      </c>
      <c r="O111" s="17" t="n"/>
      <c r="P111" s="17" t="inlineStr">
        <is>
          <t>식사</t>
        </is>
      </c>
      <c r="Q111" s="17" t="inlineStr">
        <is>
          <t>현대적</t>
        </is>
      </c>
      <c r="R111" s="17" t="inlineStr">
        <is>
          <t>실내</t>
        </is>
      </c>
      <c r="S111" s="17" t="n"/>
      <c r="T111" s="17" t="n"/>
      <c r="U111" s="17" t="n"/>
      <c r="V111" s="18" t="n"/>
      <c r="W111" s="17" t="inlineStr">
        <is>
          <t>Claude(웹 수집)</t>
        </is>
      </c>
      <c r="X111" s="22" t="inlineStr">
        <is>
          <t>2026-10-21</t>
        </is>
      </c>
      <c r="Y111" s="18" t="inlineStr">
        <is>
          <t>https://www.diningcode.com/profile.php?rid=2FrLMzv6pslD</t>
        </is>
      </c>
      <c r="Z111" s="18" t="inlineStr">
        <is>
          <t>초안(웹 수집). 현장 미확인 / 추정 칸: 머무는 시간·1인 지출·태그·지역 / 영업시간 확인 필요(확인 필요) / 지출 추정 불가(메뉴 가격 없음) - 직접 입력</t>
        </is>
      </c>
    </row>
    <row r="112">
      <c r="A112" s="16" t="inlineStr">
        <is>
          <t>store_110</t>
        </is>
      </c>
      <c r="B112" s="17" t="inlineStr">
        <is>
          <t>5·18민주광장</t>
        </is>
      </c>
      <c r="C112" s="17" t="inlineStr">
        <is>
          <t>명소·산책</t>
        </is>
      </c>
      <c r="D112" s="17" t="inlineStr">
        <is>
          <t>동구 금남로</t>
        </is>
      </c>
      <c r="E112" s="18" t="inlineStr">
        <is>
          <t>전남광주통합특별시 동구 금남로1가 41</t>
        </is>
      </c>
      <c r="F112" s="19" t="n"/>
      <c r="G112" s="19" t="n"/>
      <c r="H112" s="20" t="inlineStr">
        <is>
          <t>00:00</t>
        </is>
      </c>
      <c r="I112" s="20" t="inlineStr">
        <is>
          <t>24:00</t>
        </is>
      </c>
      <c r="J112" s="17" t="n"/>
      <c r="K112" s="17" t="n">
        <v>30</v>
      </c>
      <c r="L112" s="21" t="n">
        <v>0</v>
      </c>
      <c r="M112" s="18" t="n"/>
      <c r="N112" s="17" t="n"/>
      <c r="O112" s="17" t="n"/>
      <c r="P112" s="17" t="inlineStr">
        <is>
          <t>역사 탐방, 산책</t>
        </is>
      </c>
      <c r="Q112" s="17" t="inlineStr">
        <is>
          <t>조용한</t>
        </is>
      </c>
      <c r="R112" s="17" t="inlineStr">
        <is>
          <t>실외</t>
        </is>
      </c>
      <c r="S112" s="17" t="inlineStr">
        <is>
          <t>오전, 오후, 저녁, 밤</t>
        </is>
      </c>
      <c r="T112" s="17" t="n"/>
      <c r="U112" s="17" t="n"/>
      <c r="V112" s="18" t="inlineStr">
        <is>
          <t>1980년 5월 항쟁의 현장. 분수대·상무관·시계탑이 남아 있다. 1996년 5·18민주광장으로 명명.</t>
        </is>
      </c>
      <c r="W112" s="17" t="inlineStr">
        <is>
          <t>Claude(웹 수집)</t>
        </is>
      </c>
      <c r="X112" s="22" t="inlineStr">
        <is>
          <t>2026-10-21</t>
        </is>
      </c>
      <c r="Y112" s="18" t="inlineStr">
        <is>
          <t>https://donggu.kr/tour/M0000017/tour/view.do</t>
        </is>
      </c>
      <c r="Z112" s="18" t="inlineStr">
        <is>
          <t>초안(웹 수집). 현장 미확인 / 추정 칸: 머무는 시간·태그 / 상시개방, 무료</t>
        </is>
      </c>
    </row>
    <row r="113">
      <c r="A113" s="16" t="inlineStr">
        <is>
          <t>store_111</t>
        </is>
      </c>
      <c r="B113" s="17" t="inlineStr">
        <is>
          <t>옛 전남도청</t>
        </is>
      </c>
      <c r="C113" s="17" t="inlineStr">
        <is>
          <t>명소·산책</t>
        </is>
      </c>
      <c r="D113" s="17" t="inlineStr">
        <is>
          <t>동구 광산동</t>
        </is>
      </c>
      <c r="E113" s="18" t="inlineStr">
        <is>
          <t>전남광주통합특별시 동구 문화전당로 38</t>
        </is>
      </c>
      <c r="F113" s="19" t="n"/>
      <c r="G113" s="19" t="n"/>
      <c r="H113" s="20" t="inlineStr">
        <is>
          <t>00:00</t>
        </is>
      </c>
      <c r="I113" s="20" t="inlineStr">
        <is>
          <t>24:00</t>
        </is>
      </c>
      <c r="J113" s="17" t="n"/>
      <c r="K113" s="17" t="n">
        <v>40</v>
      </c>
      <c r="L113" s="21" t="n">
        <v>0</v>
      </c>
      <c r="M113" s="18" t="n"/>
      <c r="N113" s="17" t="n"/>
      <c r="O113" s="17" t="n"/>
      <c r="P113" s="17" t="inlineStr">
        <is>
          <t>역사 탐방, 건축 구경</t>
        </is>
      </c>
      <c r="Q113" s="17" t="inlineStr">
        <is>
          <t>조용한</t>
        </is>
      </c>
      <c r="R113" s="17" t="inlineStr">
        <is>
          <t>실외</t>
        </is>
      </c>
      <c r="S113" s="17" t="inlineStr">
        <is>
          <t>오전, 오후, 저녁, 밤</t>
        </is>
      </c>
      <c r="T113" s="17" t="n"/>
      <c r="U113" s="17" t="n"/>
      <c r="V113" s="18" t="inlineStr">
        <is>
          <t>1980년 5·18 당시 시민 항쟁의 도청. 구 본관은 1930년 건립, 2002년 국가등록문화유산 지정.</t>
        </is>
      </c>
      <c r="W113" s="17" t="inlineStr">
        <is>
          <t>Claude(웹 수집)</t>
        </is>
      </c>
      <c r="X113" s="22" t="inlineStr">
        <is>
          <t>2026-10-21</t>
        </is>
      </c>
      <c r="Y113" s="18" t="inlineStr">
        <is>
          <t>https://donggu.kr/tour/M0000148/tour/view.do</t>
        </is>
      </c>
      <c r="Z113" s="18" t="inlineStr">
        <is>
          <t>초안(웹 수집). 현장 미확인 / 추정 칸: 머무는 시간·태그 / 5·18 사적 제5-1호. 상시개방, 무료</t>
        </is>
      </c>
    </row>
    <row r="114">
      <c r="A114" s="16" t="inlineStr">
        <is>
          <t>store_112</t>
        </is>
      </c>
      <c r="B114" s="17" t="inlineStr">
        <is>
          <t>상무관</t>
        </is>
      </c>
      <c r="C114" s="17" t="inlineStr">
        <is>
          <t>명소·산책</t>
        </is>
      </c>
      <c r="D114" s="17" t="inlineStr">
        <is>
          <t>동구 광산동</t>
        </is>
      </c>
      <c r="E114" s="18" t="inlineStr">
        <is>
          <t>전남광주통합특별시 동구 문화전당로 38</t>
        </is>
      </c>
      <c r="F114" s="19" t="n"/>
      <c r="G114" s="19" t="n"/>
      <c r="H114" s="20" t="inlineStr">
        <is>
          <t>00:00</t>
        </is>
      </c>
      <c r="I114" s="20" t="inlineStr">
        <is>
          <t>24:00</t>
        </is>
      </c>
      <c r="J114" s="17" t="n"/>
      <c r="K114" s="17" t="n">
        <v>20</v>
      </c>
      <c r="L114" s="21" t="n">
        <v>0</v>
      </c>
      <c r="M114" s="18" t="n"/>
      <c r="N114" s="17" t="n"/>
      <c r="O114" s="17" t="n"/>
      <c r="P114" s="17" t="inlineStr">
        <is>
          <t>역사 탐방</t>
        </is>
      </c>
      <c r="Q114" s="17" t="inlineStr">
        <is>
          <t>조용한</t>
        </is>
      </c>
      <c r="R114" s="17" t="inlineStr">
        <is>
          <t>실내외</t>
        </is>
      </c>
      <c r="S114" s="17" t="inlineStr">
        <is>
          <t>오전, 오후, 저녁, 밤</t>
        </is>
      </c>
      <c r="T114" s="17" t="n"/>
      <c r="U114" s="17" t="n"/>
      <c r="V114" s="18" t="inlineStr">
        <is>
          <t>1969년 완공. 5·18 당시 희생자 시신을 안치하던 장소.</t>
        </is>
      </c>
      <c r="W114" s="17" t="inlineStr">
        <is>
          <t>Claude(웹 수집)</t>
        </is>
      </c>
      <c r="X114" s="22" t="inlineStr">
        <is>
          <t>2026-10-21</t>
        </is>
      </c>
      <c r="Y114" s="18" t="inlineStr">
        <is>
          <t>https://donggu.kr/tour/M0000150/tour/view.do</t>
        </is>
      </c>
      <c r="Z114" s="18" t="inlineStr">
        <is>
          <t>초안(웹 수집). 현장 미확인 / 추정 칸: 머무는 시간·태그 / 5·18 사적 제5-3호. 상시개방, 무료. 내부 개방 여부 확인</t>
        </is>
      </c>
    </row>
    <row r="115">
      <c r="A115" s="16" t="inlineStr">
        <is>
          <t>store_113</t>
        </is>
      </c>
      <c r="B115" s="17" t="inlineStr">
        <is>
          <t>광주 YWCA 옛터</t>
        </is>
      </c>
      <c r="C115" s="17" t="inlineStr">
        <is>
          <t>명소·산책</t>
        </is>
      </c>
      <c r="D115" s="17" t="inlineStr">
        <is>
          <t>동구 대의동</t>
        </is>
      </c>
      <c r="E115" s="18" t="inlineStr">
        <is>
          <t>전남광주통합특별시 동구 대의동 75-1</t>
        </is>
      </c>
      <c r="F115" s="19" t="n"/>
      <c r="G115" s="19" t="n"/>
      <c r="H115" s="20" t="inlineStr">
        <is>
          <t>00:00</t>
        </is>
      </c>
      <c r="I115" s="20" t="inlineStr">
        <is>
          <t>24:00</t>
        </is>
      </c>
      <c r="J115" s="17" t="n"/>
      <c r="K115" s="17" t="n">
        <v>15</v>
      </c>
      <c r="L115" s="21" t="n">
        <v>0</v>
      </c>
      <c r="M115" s="18" t="n"/>
      <c r="N115" s="17" t="n"/>
      <c r="O115" s="17" t="n"/>
      <c r="P115" s="17" t="inlineStr">
        <is>
          <t>역사 탐방</t>
        </is>
      </c>
      <c r="Q115" s="17" t="inlineStr">
        <is>
          <t>조용한</t>
        </is>
      </c>
      <c r="R115" s="17" t="inlineStr">
        <is>
          <t>실외</t>
        </is>
      </c>
      <c r="S115" s="17" t="inlineStr">
        <is>
          <t>오전, 오후, 저녁, 밤</t>
        </is>
      </c>
      <c r="T115" s="17" t="n"/>
      <c r="U115" s="17" t="n"/>
      <c r="V115" s="18" t="inlineStr">
        <is>
          <t>1960년 완공된 대의동 YWCA 회관 터. 5·18 당시 민주인사 대책회의와 유인물 제작 장소.</t>
        </is>
      </c>
      <c r="W115" s="17" t="inlineStr">
        <is>
          <t>Claude(웹 수집)</t>
        </is>
      </c>
      <c r="X115" s="22" t="inlineStr">
        <is>
          <t>2026-10-21</t>
        </is>
      </c>
      <c r="Y115" s="18" t="inlineStr">
        <is>
          <t>https://donggu.kr/tour/M0000151/tour/view.do</t>
        </is>
      </c>
      <c r="Z115" s="18" t="inlineStr">
        <is>
          <t>초안(웹 수집). 현장 미확인 / 추정 칸: 머무는 시간·태그 / 5·18 사적 제6호. 상시개방, 무료. 도로명주소 아님(지번)</t>
        </is>
      </c>
    </row>
    <row r="116">
      <c r="A116" s="16" t="inlineStr">
        <is>
          <t>store_114</t>
        </is>
      </c>
      <c r="B116" s="17" t="inlineStr">
        <is>
          <t>녹두서점 옛터</t>
        </is>
      </c>
      <c r="C116" s="17" t="inlineStr">
        <is>
          <t>명소·산책</t>
        </is>
      </c>
      <c r="D116" s="17" t="inlineStr">
        <is>
          <t>동구 제봉로</t>
        </is>
      </c>
      <c r="E116" s="18" t="inlineStr">
        <is>
          <t>전남광주통합특별시 동구 제봉로 134</t>
        </is>
      </c>
      <c r="F116" s="19" t="n"/>
      <c r="G116" s="19" t="n"/>
      <c r="H116" s="20" t="inlineStr">
        <is>
          <t>00:00</t>
        </is>
      </c>
      <c r="I116" s="20" t="inlineStr">
        <is>
          <t>24:00</t>
        </is>
      </c>
      <c r="J116" s="17" t="n"/>
      <c r="K116" s="17" t="n">
        <v>15</v>
      </c>
      <c r="L116" s="21" t="n">
        <v>0</v>
      </c>
      <c r="M116" s="18" t="n"/>
      <c r="N116" s="17" t="n"/>
      <c r="O116" s="17" t="n"/>
      <c r="P116" s="17" t="inlineStr">
        <is>
          <t>역사 탐방</t>
        </is>
      </c>
      <c r="Q116" s="17" t="inlineStr">
        <is>
          <t>조용한</t>
        </is>
      </c>
      <c r="R116" s="17" t="inlineStr">
        <is>
          <t>실외</t>
        </is>
      </c>
      <c r="S116" s="17" t="inlineStr">
        <is>
          <t>오전, 오후, 저녁, 밤</t>
        </is>
      </c>
      <c r="T116" s="17" t="n"/>
      <c r="U116" s="17" t="n"/>
      <c r="V116" s="18" t="inlineStr">
        <is>
          <t>1977년부터 운영된 사회과학서점 터. 5·18 초반 구심 역할.</t>
        </is>
      </c>
      <c r="W116" s="17" t="inlineStr">
        <is>
          <t>Claude(웹 수집)</t>
        </is>
      </c>
      <c r="X116" s="22" t="inlineStr">
        <is>
          <t>2026-10-21</t>
        </is>
      </c>
      <c r="Y116" s="18" t="inlineStr">
        <is>
          <t>https://donggu.kr/tour/M0000152/tour/view.do</t>
        </is>
      </c>
      <c r="Z116" s="18" t="inlineStr">
        <is>
          <t>초안(웹 수집). 현장 미확인 / 추정 칸: 머무는 시간·태그 / 5·18 사적 제8호. 상시개방, 무료</t>
        </is>
      </c>
    </row>
    <row r="117">
      <c r="A117" s="16" t="inlineStr">
        <is>
          <t>store_115</t>
        </is>
      </c>
      <c r="B117" s="17" t="inlineStr">
        <is>
          <t>광주 MBC 옛터</t>
        </is>
      </c>
      <c r="C117" s="17" t="inlineStr">
        <is>
          <t>명소·산책</t>
        </is>
      </c>
      <c r="D117" s="17" t="inlineStr">
        <is>
          <t>동구 제봉로</t>
        </is>
      </c>
      <c r="E117" s="18" t="inlineStr">
        <is>
          <t>전남광주통합특별시 동구 제봉로 149</t>
        </is>
      </c>
      <c r="F117" s="19" t="n"/>
      <c r="G117" s="19" t="n"/>
      <c r="H117" s="20" t="inlineStr">
        <is>
          <t>00:00</t>
        </is>
      </c>
      <c r="I117" s="20" t="inlineStr">
        <is>
          <t>24:00</t>
        </is>
      </c>
      <c r="J117" s="17" t="n"/>
      <c r="K117" s="17" t="n">
        <v>15</v>
      </c>
      <c r="L117" s="21" t="n">
        <v>0</v>
      </c>
      <c r="M117" s="18" t="n"/>
      <c r="N117" s="17" t="n"/>
      <c r="O117" s="17" t="n"/>
      <c r="P117" s="17" t="inlineStr">
        <is>
          <t>역사 탐방</t>
        </is>
      </c>
      <c r="Q117" s="17" t="inlineStr">
        <is>
          <t>조용한</t>
        </is>
      </c>
      <c r="R117" s="17" t="inlineStr">
        <is>
          <t>실외</t>
        </is>
      </c>
      <c r="S117" s="17" t="inlineStr">
        <is>
          <t>오전, 오후, 저녁, 밤</t>
        </is>
      </c>
      <c r="T117" s="17" t="n"/>
      <c r="U117" s="17" t="n"/>
      <c r="V117" s="18" t="inlineStr">
        <is>
          <t>1980년 5·18 당시 광주 MBC 사옥 터. 조선시대 광주읍성 동문 터이기도 하다.</t>
        </is>
      </c>
      <c r="W117" s="17" t="inlineStr">
        <is>
          <t>Claude(웹 수집)</t>
        </is>
      </c>
      <c r="X117" s="22" t="inlineStr">
        <is>
          <t>2026-10-21</t>
        </is>
      </c>
      <c r="Y117" s="18" t="inlineStr">
        <is>
          <t>https://donggu.kr/tour/M0000153/tour/view.do</t>
        </is>
      </c>
      <c r="Z117" s="18" t="inlineStr">
        <is>
          <t>초안(웹 수집). 현장 미확인 / 추정 칸: 머무는 시간·태그 / 5·18 사적 제7호. 상시개방, 무료</t>
        </is>
      </c>
    </row>
    <row r="118">
      <c r="A118" s="16" t="inlineStr">
        <is>
          <t>store_116</t>
        </is>
      </c>
      <c r="B118" s="17" t="inlineStr">
        <is>
          <t>광주읍성유허</t>
        </is>
      </c>
      <c r="C118" s="17" t="inlineStr">
        <is>
          <t>명소·산책</t>
        </is>
      </c>
      <c r="D118" s="17" t="inlineStr">
        <is>
          <t>동구 광산동</t>
        </is>
      </c>
      <c r="E118" s="18" t="inlineStr">
        <is>
          <t>전남광주통합특별시 동구 광산동 113</t>
        </is>
      </c>
      <c r="F118" s="19" t="n"/>
      <c r="G118" s="19" t="n"/>
      <c r="H118" s="20" t="inlineStr">
        <is>
          <t>00:00</t>
        </is>
      </c>
      <c r="I118" s="20" t="inlineStr">
        <is>
          <t>24:00</t>
        </is>
      </c>
      <c r="J118" s="17" t="n"/>
      <c r="K118" s="17" t="n">
        <v>15</v>
      </c>
      <c r="L118" s="21" t="n">
        <v>0</v>
      </c>
      <c r="M118" s="18" t="n"/>
      <c r="N118" s="17" t="n"/>
      <c r="O118" s="17" t="n"/>
      <c r="P118" s="17" t="inlineStr">
        <is>
          <t>역사 탐방</t>
        </is>
      </c>
      <c r="Q118" s="17" t="inlineStr">
        <is>
          <t>조용한</t>
        </is>
      </c>
      <c r="R118" s="17" t="inlineStr">
        <is>
          <t>실외</t>
        </is>
      </c>
      <c r="S118" s="17" t="inlineStr">
        <is>
          <t>오전, 오후, 저녁, 밤</t>
        </is>
      </c>
      <c r="T118" s="17" t="n"/>
      <c r="U118" s="17" t="n"/>
      <c r="V118" s="18" t="inlineStr">
        <is>
          <t>조선시대 광주읍성이 있던 곳. 2014년 발굴로 일부 구간을 이전 복원. 1994년 지정.</t>
        </is>
      </c>
      <c r="W118" s="17" t="inlineStr">
        <is>
          <t>Claude(웹 수집)</t>
        </is>
      </c>
      <c r="X118" s="22" t="inlineStr">
        <is>
          <t>2026-10-21</t>
        </is>
      </c>
      <c r="Y118" s="18" t="inlineStr">
        <is>
          <t>https://donggu.kr/tour/M0000081/tour/view.do</t>
        </is>
      </c>
      <c r="Z118" s="18" t="inlineStr">
        <is>
          <t>초안(웹 수집). 현장 미확인 / 추정 칸: 머무는 시간·태그 / 상시개방, 무료. 도로명주소 아님(지번)</t>
        </is>
      </c>
    </row>
    <row r="119">
      <c r="A119" s="16" t="inlineStr">
        <is>
          <t>store_117</t>
        </is>
      </c>
      <c r="B119" s="17" t="inlineStr">
        <is>
          <t>허백련춘설헌</t>
        </is>
      </c>
      <c r="C119" s="17" t="inlineStr">
        <is>
          <t>명소·산책</t>
        </is>
      </c>
      <c r="D119" s="17" t="inlineStr">
        <is>
          <t>동구 운림동</t>
        </is>
      </c>
      <c r="E119" s="18" t="inlineStr">
        <is>
          <t>전남광주통합특별시 동구 운림동 산 151-7</t>
        </is>
      </c>
      <c r="F119" s="19" t="n"/>
      <c r="G119" s="19" t="n"/>
      <c r="H119" s="20" t="n"/>
      <c r="I119" s="20" t="n"/>
      <c r="J119" s="17" t="n"/>
      <c r="K119" s="17" t="n">
        <v>30</v>
      </c>
      <c r="L119" s="21" t="n">
        <v>0</v>
      </c>
      <c r="M119" s="18" t="n"/>
      <c r="N119" s="17" t="n"/>
      <c r="O119" s="17" t="n"/>
      <c r="P119" s="17" t="inlineStr">
        <is>
          <t>역사 탐방, 산책</t>
        </is>
      </c>
      <c r="Q119" s="17" t="inlineStr">
        <is>
          <t>전통적</t>
        </is>
      </c>
      <c r="R119" s="17" t="inlineStr">
        <is>
          <t>실외</t>
        </is>
      </c>
      <c r="S119" s="17" t="n"/>
      <c r="T119" s="17" t="n"/>
      <c r="U119" s="17" t="n"/>
      <c r="V119" s="18" t="inlineStr">
        <is>
          <t>한국화가 허백련이 1946~1977년 작품활동을 하던 곳. 1986년 광주시 기념물 지정.</t>
        </is>
      </c>
      <c r="W119" s="17" t="inlineStr">
        <is>
          <t>Claude(웹 수집)</t>
        </is>
      </c>
      <c r="X119" s="22" t="inlineStr">
        <is>
          <t>2026-10-21</t>
        </is>
      </c>
      <c r="Y119" s="18" t="inlineStr">
        <is>
          <t>https://donggu.kr/tour/M0000075/tour/view.do</t>
        </is>
      </c>
      <c r="Z119" s="18" t="inlineStr">
        <is>
          <t>초안(웹 수집). 현장 미확인 / 추정 칸: 머무는 시간·태그 / 운영시간 페이지에 없음(확인). 도로명주소 아님(지번) / 영업시간 확인 필요</t>
        </is>
      </c>
    </row>
    <row r="120">
      <c r="A120" s="16" t="inlineStr">
        <is>
          <t>store_118</t>
        </is>
      </c>
      <c r="B120" s="17" t="inlineStr">
        <is>
          <t>오지호가</t>
        </is>
      </c>
      <c r="C120" s="17" t="inlineStr">
        <is>
          <t>명소·산책</t>
        </is>
      </c>
      <c r="D120" s="17" t="inlineStr">
        <is>
          <t>동구 지산동</t>
        </is>
      </c>
      <c r="E120" s="18" t="inlineStr">
        <is>
          <t>전남광주통합특별시 동구 지호로 81-20</t>
        </is>
      </c>
      <c r="F120" s="19" t="n"/>
      <c r="G120" s="19" t="n"/>
      <c r="H120" s="20" t="n"/>
      <c r="I120" s="20" t="n"/>
      <c r="J120" s="17" t="n"/>
      <c r="K120" s="17" t="n">
        <v>30</v>
      </c>
      <c r="L120" s="21" t="n">
        <v>0</v>
      </c>
      <c r="M120" s="18" t="n"/>
      <c r="N120" s="17" t="n"/>
      <c r="O120" s="17" t="n"/>
      <c r="P120" s="17" t="inlineStr">
        <is>
          <t>역사 탐방, 건축 구경</t>
        </is>
      </c>
      <c r="Q120" s="17" t="inlineStr">
        <is>
          <t>전통적</t>
        </is>
      </c>
      <c r="R120" s="17" t="inlineStr">
        <is>
          <t>실내외</t>
        </is>
      </c>
      <c r="S120" s="17" t="n"/>
      <c r="T120" s="17" t="n"/>
      <c r="U120" s="17" t="n"/>
      <c r="V120" s="18" t="inlineStr">
        <is>
          <t>서양화가 오지호가 1954년부터 1982년까지 살던 초가 형태의 집. 1986년 광주시 기념물 지정.</t>
        </is>
      </c>
      <c r="W120" s="17" t="inlineStr">
        <is>
          <t>Claude(웹 수집)</t>
        </is>
      </c>
      <c r="X120" s="22" t="inlineStr">
        <is>
          <t>2026-10-21</t>
        </is>
      </c>
      <c r="Y120" s="18" t="inlineStr">
        <is>
          <t>https://donggu.kr/tour/M0000076/tour/view.do</t>
        </is>
      </c>
      <c r="Z120" s="18" t="inlineStr">
        <is>
          <t>초안(웹 수집). 현장 미확인 / 추정 칸: 머무는 시간·태그 / 예약방문 062-608-2404. 시간 확인 / 영업시간 확인 필요</t>
        </is>
      </c>
    </row>
    <row r="121">
      <c r="A121" s="16" t="inlineStr">
        <is>
          <t>store_119</t>
        </is>
      </c>
      <c r="B121" s="17" t="inlineStr">
        <is>
          <t>광주 학생독립운동발상지(전남여자고등학교)</t>
        </is>
      </c>
      <c r="C121" s="17" t="inlineStr">
        <is>
          <t>명소·산책</t>
        </is>
      </c>
      <c r="D121" s="17" t="inlineStr">
        <is>
          <t>동구 제봉로</t>
        </is>
      </c>
      <c r="E121" s="18" t="inlineStr">
        <is>
          <t>전남광주통합특별시 동구 제봉로158번길 8</t>
        </is>
      </c>
      <c r="F121" s="19" t="n"/>
      <c r="G121" s="19" t="n"/>
      <c r="H121" s="20" t="n"/>
      <c r="I121" s="20" t="n"/>
      <c r="J121" s="17" t="n"/>
      <c r="K121" s="17" t="n">
        <v>20</v>
      </c>
      <c r="L121" s="21" t="n">
        <v>0</v>
      </c>
      <c r="M121" s="18" t="n"/>
      <c r="N121" s="17" t="n"/>
      <c r="O121" s="17" t="n"/>
      <c r="P121" s="17" t="inlineStr">
        <is>
          <t>역사 탐방</t>
        </is>
      </c>
      <c r="Q121" s="17" t="inlineStr">
        <is>
          <t>조용한</t>
        </is>
      </c>
      <c r="R121" s="17" t="inlineStr">
        <is>
          <t>실외</t>
        </is>
      </c>
      <c r="S121" s="17" t="n"/>
      <c r="T121" s="17" t="n"/>
      <c r="U121" s="17" t="n"/>
      <c r="V121" s="18" t="inlineStr">
        <is>
          <t>광주학생독립운동을 이끈 학생들이 다니던 학교 부지. 1999년 지정. 1929년 나주역 사건을 계기로 한 항일운동.</t>
        </is>
      </c>
      <c r="W121" s="17" t="inlineStr">
        <is>
          <t>Claude(웹 수집)</t>
        </is>
      </c>
      <c r="X121" s="22" t="inlineStr">
        <is>
          <t>2026-10-21</t>
        </is>
      </c>
      <c r="Y121" s="18" t="inlineStr">
        <is>
          <t>https://donggu.kr/tour/M0000146/tour/view.do</t>
        </is>
      </c>
      <c r="Z121" s="18" t="inlineStr">
        <is>
          <t>초안(웹 수집). 현장 미확인 / 추정 칸: 머무는 시간·태그 / 운영시간 페이지에 없음(학교 부지, 출입 확인) / 영업시간 확인 필요</t>
        </is>
      </c>
    </row>
    <row r="122">
      <c r="A122" s="16" t="inlineStr">
        <is>
          <t>store_120</t>
        </is>
      </c>
      <c r="B122" s="17" t="inlineStr">
        <is>
          <t>광주 지산동 오층석탑</t>
        </is>
      </c>
      <c r="C122" s="17" t="inlineStr">
        <is>
          <t>명소·산책</t>
        </is>
      </c>
      <c r="D122" s="17" t="inlineStr">
        <is>
          <t>동구 지산동</t>
        </is>
      </c>
      <c r="E122" s="18" t="inlineStr">
        <is>
          <t>전남광주통합특별시 동구 지산동 448-4</t>
        </is>
      </c>
      <c r="F122" s="19" t="n"/>
      <c r="G122" s="19" t="n"/>
      <c r="H122" s="20" t="inlineStr">
        <is>
          <t>00:00</t>
        </is>
      </c>
      <c r="I122" s="20" t="inlineStr">
        <is>
          <t>24:00</t>
        </is>
      </c>
      <c r="J122" s="17" t="n"/>
      <c r="K122" s="17" t="n">
        <v>20</v>
      </c>
      <c r="L122" s="21" t="n">
        <v>0</v>
      </c>
      <c r="M122" s="18" t="n"/>
      <c r="N122" s="17" t="n"/>
      <c r="O122" s="17" t="n"/>
      <c r="P122" s="17" t="inlineStr">
        <is>
          <t>역사 탐방</t>
        </is>
      </c>
      <c r="Q122" s="17" t="inlineStr">
        <is>
          <t>조용한</t>
        </is>
      </c>
      <c r="R122" s="17" t="inlineStr">
        <is>
          <t>실외</t>
        </is>
      </c>
      <c r="S122" s="17" t="inlineStr">
        <is>
          <t>오전, 오후, 저녁, 밤</t>
        </is>
      </c>
      <c r="T122" s="17" t="n"/>
      <c r="U122" s="17" t="n"/>
      <c r="V122" s="18" t="inlineStr">
        <is>
          <t>통일신라 후기 석탑, 높이 7.24m. 1963년 보물 지정.</t>
        </is>
      </c>
      <c r="W122" s="17" t="inlineStr">
        <is>
          <t>Claude(웹 수집)</t>
        </is>
      </c>
      <c r="X122" s="22" t="inlineStr">
        <is>
          <t>2026-10-21</t>
        </is>
      </c>
      <c r="Y122" s="18" t="inlineStr">
        <is>
          <t>https://donggu.kr/tour/M0000061/tour/view.do</t>
        </is>
      </c>
      <c r="Z122" s="18" t="inlineStr">
        <is>
          <t>초안(웹 수집). 현장 미확인 / 추정 칸: 머무는 시간·태그 / 상시개방, 무료. 도로명주소 아님(지번)</t>
        </is>
      </c>
    </row>
    <row r="123">
      <c r="A123" s="16" t="inlineStr">
        <is>
          <t>store_121</t>
        </is>
      </c>
      <c r="B123" s="17" t="inlineStr">
        <is>
          <t>광주 서석초등학교 본관·별관·체육관</t>
        </is>
      </c>
      <c r="C123" s="17" t="inlineStr">
        <is>
          <t>명소·산책</t>
        </is>
      </c>
      <c r="D123" s="17" t="inlineStr">
        <is>
          <t>동구 제봉로</t>
        </is>
      </c>
      <c r="E123" s="18" t="inlineStr">
        <is>
          <t>전남광주통합특별시 동구 제봉로82번길 26</t>
        </is>
      </c>
      <c r="F123" s="19" t="n"/>
      <c r="G123" s="19" t="n"/>
      <c r="H123" s="20" t="n"/>
      <c r="I123" s="20" t="n"/>
      <c r="J123" s="17" t="n"/>
      <c r="K123" s="17" t="n">
        <v>20</v>
      </c>
      <c r="L123" s="21" t="n">
        <v>0</v>
      </c>
      <c r="M123" s="18" t="n"/>
      <c r="N123" s="17" t="n"/>
      <c r="O123" s="17" t="n"/>
      <c r="P123" s="17" t="inlineStr">
        <is>
          <t>건축 구경, 역사 탐방</t>
        </is>
      </c>
      <c r="Q123" s="17" t="inlineStr">
        <is>
          <t>조용한</t>
        </is>
      </c>
      <c r="R123" s="17" t="inlineStr">
        <is>
          <t>실외</t>
        </is>
      </c>
      <c r="S123" s="17" t="n"/>
      <c r="T123" s="17" t="n"/>
      <c r="U123" s="17" t="n"/>
      <c r="V123" s="18" t="inlineStr">
        <is>
          <t>광주 최초의 근대식 공립학교. 본관 1935년, 체육관 1930년, 별관 1943년 건립. 2002년 국가등록문화유산.</t>
        </is>
      </c>
      <c r="W123" s="17" t="inlineStr">
        <is>
          <t>Claude(웹 수집)</t>
        </is>
      </c>
      <c r="X123" s="22" t="inlineStr">
        <is>
          <t>2026-10-21</t>
        </is>
      </c>
      <c r="Y123" s="18" t="inlineStr">
        <is>
          <t>https://donggu.kr/tour/M0000083/tour/view.do</t>
        </is>
      </c>
      <c r="Z123" s="18" t="inlineStr">
        <is>
          <t>초안(웹 수집). 현장 미확인 / 추정 칸: 머무는 시간·태그 / 학교 부지, 출입 확인 / 영업시간 확인 필요</t>
        </is>
      </c>
    </row>
    <row r="124">
      <c r="A124" s="16" t="inlineStr">
        <is>
          <t>store_122</t>
        </is>
      </c>
      <c r="B124" s="17" t="inlineStr">
        <is>
          <t>광주 조선대학교 본관</t>
        </is>
      </c>
      <c r="C124" s="17" t="inlineStr">
        <is>
          <t>명소·산책</t>
        </is>
      </c>
      <c r="D124" s="17" t="inlineStr">
        <is>
          <t>동구 서석동</t>
        </is>
      </c>
      <c r="E124" s="18" t="inlineStr">
        <is>
          <t>전남광주통합특별시 동구 조선대길 146</t>
        </is>
      </c>
      <c r="F124" s="19" t="n"/>
      <c r="G124" s="19" t="n"/>
      <c r="H124" s="20" t="n"/>
      <c r="I124" s="20" t="n"/>
      <c r="J124" s="17" t="n"/>
      <c r="K124" s="17" t="n">
        <v>30</v>
      </c>
      <c r="L124" s="21" t="n">
        <v>0</v>
      </c>
      <c r="M124" s="18" t="n"/>
      <c r="N124" s="17" t="n"/>
      <c r="O124" s="17" t="n"/>
      <c r="P124" s="17" t="inlineStr">
        <is>
          <t>건축 구경, 역사 탐방</t>
        </is>
      </c>
      <c r="Q124" s="17" t="inlineStr">
        <is>
          <t>전통적</t>
        </is>
      </c>
      <c r="R124" s="17" t="inlineStr">
        <is>
          <t>실외</t>
        </is>
      </c>
      <c r="S124" s="17" t="n"/>
      <c r="T124" s="17" t="n"/>
      <c r="U124" s="17" t="n"/>
      <c r="V124" s="18" t="inlineStr">
        <is>
          <t>한국 최초의 민립대학 본관. 1947년 착공, 1954년 완공. 2004년 국가등록문화유산 지정.</t>
        </is>
      </c>
      <c r="W124" s="17" t="inlineStr">
        <is>
          <t>Claude(웹 수집)</t>
        </is>
      </c>
      <c r="X124" s="22" t="inlineStr">
        <is>
          <t>2026-10-21</t>
        </is>
      </c>
      <c r="Y124" s="18" t="inlineStr">
        <is>
          <t>https://donggu.kr/tour/M0000084/tour/view.do</t>
        </is>
      </c>
      <c r="Z124" s="18" t="inlineStr">
        <is>
          <t>초안(웹 수집). 현장 미확인 / 추정 칸: 머무는 시간·태그 / 캠퍼스 내 위치, 출입 확인 / 영업시간 확인 필요</t>
        </is>
      </c>
    </row>
    <row r="125">
      <c r="A125" s="16" t="inlineStr">
        <is>
          <t>store_123</t>
        </is>
      </c>
      <c r="B125" s="17" t="inlineStr">
        <is>
          <t>전일빌딩245</t>
        </is>
      </c>
      <c r="C125" s="17" t="inlineStr">
        <is>
          <t>문화·전시</t>
        </is>
      </c>
      <c r="D125" s="17" t="inlineStr">
        <is>
          <t>동구 금남로</t>
        </is>
      </c>
      <c r="E125" s="18" t="inlineStr">
        <is>
          <t>광주 동구 금남로 245</t>
        </is>
      </c>
      <c r="F125" s="19" t="n"/>
      <c r="G125" s="19" t="n"/>
      <c r="H125" s="20" t="n"/>
      <c r="I125" s="20" t="n"/>
      <c r="J125" s="17" t="n"/>
      <c r="K125" s="17" t="n">
        <v>60</v>
      </c>
      <c r="L125" s="21" t="n">
        <v>0</v>
      </c>
      <c r="M125" s="18" t="n"/>
      <c r="N125" s="17" t="n"/>
      <c r="O125" s="17" t="n"/>
      <c r="P125" s="17" t="inlineStr">
        <is>
          <t>역사 탐방, 전시 관람, 야경</t>
        </is>
      </c>
      <c r="Q125" s="17" t="inlineStr">
        <is>
          <t>현대적</t>
        </is>
      </c>
      <c r="R125" s="17" t="inlineStr">
        <is>
          <t>실내외</t>
        </is>
      </c>
      <c r="S125" s="17" t="n"/>
      <c r="T125" s="17" t="n"/>
      <c r="U125" s="17" t="n"/>
      <c r="V125" s="18" t="inlineStr">
        <is>
          <t>5·18 헬기 사격 탄흔 245개를 보존한 건물. 2020년 5월 개관. 도서관·관광센터 등이 입주.</t>
        </is>
      </c>
      <c r="W125" s="17" t="inlineStr">
        <is>
          <t>Claude(웹 수집)</t>
        </is>
      </c>
      <c r="X125" s="22" t="inlineStr">
        <is>
          <t>2026-10-21</t>
        </is>
      </c>
      <c r="Y125" s="18" t="inlineStr">
        <is>
          <t>https://www.sateconomy.co.kr/news/view/179591282983017</t>
        </is>
      </c>
      <c r="Z125" s="18" t="inlineStr">
        <is>
          <t>초안(웹 수집). 현장 미확인 / 추정 칸: 머무는 시간·태그 / 운영시간·휴관일·요금 미확인 -&gt; 공식 안내 확인 필수 / 영업시간 확인 필요</t>
        </is>
      </c>
    </row>
    <row r="126">
      <c r="A126" s="16" t="inlineStr">
        <is>
          <t>store_124</t>
        </is>
      </c>
      <c r="B126" s="17" t="inlineStr">
        <is>
          <t>국립아시아문화전당(ACC)</t>
        </is>
      </c>
      <c r="C126" s="17" t="inlineStr">
        <is>
          <t>문화·전시</t>
        </is>
      </c>
      <c r="D126" s="17" t="inlineStr">
        <is>
          <t>동구 광산동</t>
        </is>
      </c>
      <c r="E126" s="18" t="inlineStr">
        <is>
          <t>전남광주통합특별시 동구 문화전당로 38</t>
        </is>
      </c>
      <c r="F126" s="19" t="n"/>
      <c r="G126" s="19" t="n"/>
      <c r="H126" s="20" t="inlineStr">
        <is>
          <t>10:00</t>
        </is>
      </c>
      <c r="I126" s="20" t="inlineStr">
        <is>
          <t>18:00</t>
        </is>
      </c>
      <c r="J126" s="17" t="inlineStr">
        <is>
          <t>월</t>
        </is>
      </c>
      <c r="K126" s="17" t="n">
        <v>120</v>
      </c>
      <c r="L126" s="21" t="n"/>
      <c r="M126" s="18" t="n"/>
      <c r="N126" s="17" t="n"/>
      <c r="O126" s="17" t="n"/>
      <c r="P126" s="17" t="inlineStr">
        <is>
          <t>전시 관람, 공연·영화, 건축 구경, 사진</t>
        </is>
      </c>
      <c r="Q126" s="17" t="inlineStr">
        <is>
          <t>현대적</t>
        </is>
      </c>
      <c r="R126" s="17" t="inlineStr">
        <is>
          <t>실내외</t>
        </is>
      </c>
      <c r="S126" s="17" t="inlineStr">
        <is>
          <t>오전, 오후</t>
        </is>
      </c>
      <c r="T126" s="17" t="n"/>
      <c r="U126" s="17" t="n"/>
      <c r="V126" s="18" t="inlineStr">
        <is>
          <t>2015년 11월 개관한 문화체육관광부 소속기관. 전시·공연·교육·축제를 운영.</t>
        </is>
      </c>
      <c r="W126" s="17" t="inlineStr">
        <is>
          <t>Claude(웹 수집)</t>
        </is>
      </c>
      <c r="X126" s="22" t="inlineStr">
        <is>
          <t>2026-10-21</t>
        </is>
      </c>
      <c r="Y126" s="18" t="inlineStr">
        <is>
          <t>https://donggu.kr/tour/M0000019/tour/view.do</t>
        </is>
      </c>
      <c r="Z126" s="18" t="inlineStr">
        <is>
          <t>초안(웹 수집). 현장 미확인 / 추정 칸: 머무는 시간·태그 / 내부 10:00-18:00(문화정보원·문화창조원 수·토 20:00), 외부 06:00-22:00, 휴관 월요일·1월1일. 입장료는 콘텐츠별</t>
        </is>
      </c>
    </row>
    <row r="127">
      <c r="A127" s="16" t="inlineStr">
        <is>
          <t>store_125</t>
        </is>
      </c>
      <c r="B127" s="17" t="inlineStr">
        <is>
          <t>푸른길</t>
        </is>
      </c>
      <c r="C127" s="17" t="inlineStr">
        <is>
          <t>명소·산책</t>
        </is>
      </c>
      <c r="D127" s="17" t="inlineStr">
        <is>
          <t>동구 계림동</t>
        </is>
      </c>
      <c r="E127" s="18" t="inlineStr">
        <is>
          <t>전남광주통합특별시 동구 계림동 730</t>
        </is>
      </c>
      <c r="F127" s="19" t="n"/>
      <c r="G127" s="19" t="n"/>
      <c r="H127" s="20" t="inlineStr">
        <is>
          <t>00:00</t>
        </is>
      </c>
      <c r="I127" s="20" t="inlineStr">
        <is>
          <t>24:00</t>
        </is>
      </c>
      <c r="J127" s="17" t="n"/>
      <c r="K127" s="17" t="n">
        <v>60</v>
      </c>
      <c r="L127" s="21" t="n">
        <v>0</v>
      </c>
      <c r="M127" s="18" t="n"/>
      <c r="N127" s="17" t="n"/>
      <c r="O127" s="17" t="n"/>
      <c r="P127" s="17" t="inlineStr">
        <is>
          <t>산책, 휴식</t>
        </is>
      </c>
      <c r="Q127" s="17" t="inlineStr">
        <is>
          <t>자연 속</t>
        </is>
      </c>
      <c r="R127" s="17" t="inlineStr">
        <is>
          <t>실외</t>
        </is>
      </c>
      <c r="S127" s="17" t="inlineStr">
        <is>
          <t>오전, 오후, 저녁, 밤</t>
        </is>
      </c>
      <c r="T127" s="17" t="n"/>
      <c r="U127" s="17" t="n"/>
      <c r="V127" s="18" t="inlineStr">
        <is>
          <t>광주역에서 동성고 입구까지 이어진 옛 경전선 철도 부지의 8.1km 도심 숲길.</t>
        </is>
      </c>
      <c r="W127" s="17" t="inlineStr">
        <is>
          <t>Claude(웹 수집)</t>
        </is>
      </c>
      <c r="X127" s="22" t="inlineStr">
        <is>
          <t>2026-10-21</t>
        </is>
      </c>
      <c r="Y127" s="18" t="inlineStr">
        <is>
          <t>https://donggu.kr/tour/M0000023/tour/view.do</t>
        </is>
      </c>
      <c r="Z127" s="18" t="inlineStr">
        <is>
          <t>초안(웹 수집). 현장 미확인 / 추정 칸: 머무는 시간·태그 / 상시개방, 무료. 도로명주소 아님(지번)</t>
        </is>
      </c>
    </row>
    <row r="128">
      <c r="A128" s="16" t="inlineStr">
        <is>
          <t>store_126</t>
        </is>
      </c>
      <c r="B128" s="17" t="inlineStr">
        <is>
          <t>대인시장</t>
        </is>
      </c>
      <c r="C128" s="17" t="inlineStr">
        <is>
          <t>전통시장</t>
        </is>
      </c>
      <c r="D128" s="17" t="inlineStr">
        <is>
          <t>동구 대인동</t>
        </is>
      </c>
      <c r="E128" s="18" t="inlineStr">
        <is>
          <t>전남광주통합특별시 동구 제봉로184번길 13-9</t>
        </is>
      </c>
      <c r="F128" s="19" t="n"/>
      <c r="G128" s="19" t="n"/>
      <c r="H128" s="20" t="n"/>
      <c r="I128" s="20" t="n"/>
      <c r="J128" s="17" t="n"/>
      <c r="K128" s="17" t="n">
        <v>60</v>
      </c>
      <c r="L128" s="21" t="n"/>
      <c r="M128" s="18" t="n"/>
      <c r="N128" s="17" t="n"/>
      <c r="O128" s="17" t="n"/>
      <c r="P128" s="17" t="inlineStr">
        <is>
          <t>시장 구경, 길거리 음식</t>
        </is>
      </c>
      <c r="Q128" s="17" t="inlineStr">
        <is>
          <t>서민적, 예술적</t>
        </is>
      </c>
      <c r="R128" s="17" t="inlineStr">
        <is>
          <t>실내외</t>
        </is>
      </c>
      <c r="S128" s="17" t="n"/>
      <c r="T128" s="17" t="n"/>
      <c r="U128" s="17" t="n"/>
      <c r="V128" s="18" t="inlineStr">
        <is>
          <t>2008년 광주비엔날레 '복덕방 프로젝트'를 계기로 문화·예술과 상권이 공존하게 된 전통시장.</t>
        </is>
      </c>
      <c r="W128" s="17" t="inlineStr">
        <is>
          <t>Claude(웹 수집)</t>
        </is>
      </c>
      <c r="X128" s="22" t="inlineStr">
        <is>
          <t>2026-10-21</t>
        </is>
      </c>
      <c r="Y128" s="18" t="inlineStr">
        <is>
          <t>https://donggu.kr/tour/M0000024/tour/view.do</t>
        </is>
      </c>
      <c r="Z128" s="18" t="inlineStr">
        <is>
          <t>초안(웹 수집). 현장 미확인 / 추정 칸: 머무는 시간·태그 / 영업시간·휴무는 점포별. 지출 확인 / 영업시간 확인 필요</t>
        </is>
      </c>
    </row>
    <row r="129">
      <c r="A129" s="16" t="inlineStr">
        <is>
          <t>store_127</t>
        </is>
      </c>
      <c r="B129" s="17" t="inlineStr">
        <is>
          <t>남광주시장</t>
        </is>
      </c>
      <c r="C129" s="17" t="inlineStr">
        <is>
          <t>전통시장</t>
        </is>
      </c>
      <c r="D129" s="17" t="inlineStr">
        <is>
          <t>동구 학동</t>
        </is>
      </c>
      <c r="E129" s="18" t="inlineStr">
        <is>
          <t>전남광주통합특별시 동구 제봉로17번길 18-6</t>
        </is>
      </c>
      <c r="F129" s="19" t="n"/>
      <c r="G129" s="19" t="n"/>
      <c r="H129" s="20" t="n"/>
      <c r="I129" s="20" t="n"/>
      <c r="J129" s="17" t="inlineStr">
        <is>
          <t>첫째·셋째 일</t>
        </is>
      </c>
      <c r="K129" s="17" t="n">
        <v>60</v>
      </c>
      <c r="L129" s="21" t="n"/>
      <c r="M129" s="18" t="n"/>
      <c r="N129" s="17" t="n"/>
      <c r="O129" s="17" t="n"/>
      <c r="P129" s="17" t="inlineStr">
        <is>
          <t>시장 구경, 식사</t>
        </is>
      </c>
      <c r="Q129" s="17" t="inlineStr">
        <is>
          <t>서민적</t>
        </is>
      </c>
      <c r="R129" s="17" t="inlineStr">
        <is>
          <t>실내외</t>
        </is>
      </c>
      <c r="S129" s="17" t="n"/>
      <c r="T129" s="17" t="n"/>
      <c r="U129" s="17" t="n"/>
      <c r="V129" s="18" t="inlineStr">
        <is>
          <t>옛 남광주역 자리에 형성된 시장. 해산물·채소가 많고 횟집이 모여 있다.</t>
        </is>
      </c>
      <c r="W129" s="17" t="inlineStr">
        <is>
          <t>Claude(웹 수집)</t>
        </is>
      </c>
      <c r="X129" s="22" t="inlineStr">
        <is>
          <t>2026-10-21</t>
        </is>
      </c>
      <c r="Y129" s="18" t="inlineStr">
        <is>
          <t>https://donggu.kr/tour/M0000024/tour/view.do</t>
        </is>
      </c>
      <c r="Z129" s="18" t="inlineStr">
        <is>
          <t>초안(웹 수집). 현장 미확인 / 추정 칸: 머무는 시간·태그 / 영업시간 미확인. 휴무: 첫째·셋째 일요일 / 영업시간 확인 필요</t>
        </is>
      </c>
    </row>
    <row r="130">
      <c r="A130" s="16" t="inlineStr">
        <is>
          <t>store_128</t>
        </is>
      </c>
      <c r="B130" s="17" t="inlineStr">
        <is>
          <t>사직공원 전망타워</t>
        </is>
      </c>
      <c r="C130" s="17" t="inlineStr">
        <is>
          <t>명소·산책</t>
        </is>
      </c>
      <c r="D130" s="17" t="inlineStr">
        <is>
          <t>남구 사직동</t>
        </is>
      </c>
      <c r="E130" s="18" t="inlineStr">
        <is>
          <t>광주 남구 사직길 49</t>
        </is>
      </c>
      <c r="F130" s="19" t="n"/>
      <c r="G130" s="19" t="n"/>
      <c r="H130" s="20" t="inlineStr">
        <is>
          <t>19:30</t>
        </is>
      </c>
      <c r="I130" s="20" t="inlineStr">
        <is>
          <t>23:00</t>
        </is>
      </c>
      <c r="J130" s="17" t="n"/>
      <c r="K130" s="17" t="n">
        <v>40</v>
      </c>
      <c r="L130" s="21" t="n">
        <v>0</v>
      </c>
      <c r="M130" s="18" t="n"/>
      <c r="N130" s="17" t="n"/>
      <c r="O130" s="17" t="n"/>
      <c r="P130" s="17" t="inlineStr">
        <is>
          <t>야경, 산책, 사진</t>
        </is>
      </c>
      <c r="Q130" s="17" t="inlineStr">
        <is>
          <t>감성적</t>
        </is>
      </c>
      <c r="R130" s="17" t="inlineStr">
        <is>
          <t>실외</t>
        </is>
      </c>
      <c r="S130" s="17" t="inlineStr">
        <is>
          <t>저녁, 밤</t>
        </is>
      </c>
      <c r="T130" s="17" t="n"/>
      <c r="U130" s="17" t="n"/>
      <c r="V130" s="18" t="inlineStr">
        <is>
          <t>광주 도심 야경을 보는 전망타워. 4층 전망대까지 엘리베이터, 3층 전시관. 외부 라이트쇼 21:40까지.</t>
        </is>
      </c>
      <c r="W130" s="17" t="inlineStr">
        <is>
          <t>Claude(웹 수집)</t>
        </is>
      </c>
      <c r="X130" s="22" t="inlineStr">
        <is>
          <t>2026-10-21</t>
        </is>
      </c>
      <c r="Y130" s="18" t="inlineStr">
        <is>
          <t>https://www.telltrip.com/domestic-travel/gwangju-sajik-park-night-view-forest/</t>
        </is>
      </c>
      <c r="Z130" s="18" t="inlineStr">
        <is>
          <t>초안(웹 수집). 현장 미확인 / 추정 칸: 머무는 시간·태그 / 하절기(4~10월) 19:30-23:00, 동절기(11~3월) 18:30-22:30(블로그 기준). 무료. 남구 위치(동구 인접)</t>
        </is>
      </c>
    </row>
    <row r="131">
      <c r="A131" s="16" t="inlineStr">
        <is>
          <t>store_129</t>
        </is>
      </c>
      <c r="B131" s="17" t="inlineStr">
        <is>
          <t>양림동 펭귄마을공예거리</t>
        </is>
      </c>
      <c r="C131" s="17" t="inlineStr">
        <is>
          <t>명소·산책</t>
        </is>
      </c>
      <c r="D131" s="17" t="inlineStr">
        <is>
          <t>남구 양림동</t>
        </is>
      </c>
      <c r="E131" s="18" t="inlineStr">
        <is>
          <t>광주 남구 백서로 92-8</t>
        </is>
      </c>
      <c r="F131" s="19" t="n"/>
      <c r="G131" s="19" t="n"/>
      <c r="H131" s="20" t="inlineStr">
        <is>
          <t>10:00</t>
        </is>
      </c>
      <c r="I131" s="20" t="inlineStr">
        <is>
          <t>18:00</t>
        </is>
      </c>
      <c r="J131" s="17" t="inlineStr">
        <is>
          <t>월</t>
        </is>
      </c>
      <c r="K131" s="17" t="n">
        <v>60</v>
      </c>
      <c r="L131" s="21" t="n"/>
      <c r="M131" s="18" t="n"/>
      <c r="N131" s="17" t="n"/>
      <c r="O131" s="17" t="n"/>
      <c r="P131" s="17" t="inlineStr">
        <is>
          <t>산책, 사진, 공방 체험</t>
        </is>
      </c>
      <c r="Q131" s="17" t="inlineStr">
        <is>
          <t>레트로</t>
        </is>
      </c>
      <c r="R131" s="17" t="inlineStr">
        <is>
          <t>실외</t>
        </is>
      </c>
      <c r="S131" s="17" t="inlineStr">
        <is>
          <t>오전, 오후</t>
        </is>
      </c>
      <c r="T131" s="17" t="n"/>
      <c r="U131" s="17" t="n"/>
      <c r="V131" s="18" t="inlineStr">
        <is>
          <t>양림동 주민센터 뒤 골목의 공예·레트로 거리.</t>
        </is>
      </c>
      <c r="W131" s="17" t="inlineStr">
        <is>
          <t>Claude(웹 수집)</t>
        </is>
      </c>
      <c r="X131" s="22" t="inlineStr">
        <is>
          <t>2026-10-21</t>
        </is>
      </c>
      <c r="Y131" s="18" t="inlineStr">
        <is>
          <t>https://www.ktriptips.com/kor/tourspot/2603494</t>
        </is>
      </c>
      <c r="Z131" s="18" t="inlineStr">
        <is>
          <t>초안(웹 수집). 현장 미확인 / 추정 칸: 머무는 시간·태그 / 이용시간 10:00-18:00, 월요일 휴무(ktriptips 기준). 입장료 미확인. 남구 위치(동구 인접)</t>
        </is>
      </c>
    </row>
  </sheetData>
  <autoFilter ref="A1:Z122"/>
  <dataValidations count="4">
    <dataValidation sqref="C3:C122" showDropDown="0" showInputMessage="0" showErrorMessage="1" allowBlank="1" errorTitle="유형" error="목록에서 골라 주세요." type="list" errorStyle="stop">
      <formula1>=목록!$A$2:$A$8</formula1>
    </dataValidation>
    <dataValidation sqref="R3:R122" showDropDown="0" showInputMessage="0" showErrorMessage="1" allowBlank="1" errorTitle="공간" error="실내 / 실외 / 실내외 중 하나만 고르세요." type="list" errorStyle="stop">
      <formula1>=목록!$C$2:$C$4</formula1>
    </dataValidation>
    <dataValidation sqref="N3:N122" showDropDown="0" showInputMessage="0" showErrorMessage="1" allowBlank="1" errorTitle="음식 종류" error="목록에서 골라 주세요." type="list" errorStyle="warning">
      <formula1>=목록!$E$2:$E$9</formula1>
    </dataValidation>
    <dataValidation sqref="O3:O122" showDropDown="0" showInputMessage="0" showErrorMessage="1" allowBlank="1" errorTitle="식사 시간대" error="목록에서 골라 주세요." type="list" errorStyle="warning">
      <formula1>=목록!$F$2:$F$5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40" customWidth="1" min="12" max="12"/>
  </cols>
  <sheetData>
    <row r="1" ht="78" customHeight="1">
      <c r="A1" s="23" t="inlineStr">
        <is>
          <t>가게 id</t>
        </is>
      </c>
      <c r="B1" s="24" t="inlineStr">
        <is>
          <t>가게 이름</t>
        </is>
      </c>
      <c r="C1" s="23" t="inlineStr">
        <is>
          <t>★채점자</t>
        </is>
      </c>
      <c r="D1" s="23" t="inlineStr">
        <is>
          <t>[광주다움]
5·18 등 광주 근현대사 사건의 현장이다</t>
        </is>
      </c>
      <c r="E1" s="23" t="inlineStr">
        <is>
          <t>[광주다움]
지정·등록 문화유산이거나 근대건축물이다</t>
        </is>
      </c>
      <c r="F1" s="23" t="inlineStr">
        <is>
          <t>[광주다움]
광주 고유의 음식·예술·인물과 직접 관련된다</t>
        </is>
      </c>
      <c r="G1" s="23" t="inlineStr">
        <is>
          <t>[광주다움]
같은 자리에서 30년 이상 운영했다</t>
        </is>
      </c>
      <c r="H1" s="23" t="inlineStr">
        <is>
          <t>[상권 연계성]
프랜차이즈나 대기업 직영이 아니다 (공공시설은 체크)</t>
        </is>
      </c>
      <c r="I1" s="23" t="inlineStr">
        <is>
          <t>[상권 연계성]
전통시장·상점가·골목상권 구역 안에 있다</t>
        </is>
      </c>
      <c r="J1" s="23" t="inlineStr">
        <is>
          <t>[상권 연계성]
반경 300m 안에 소상공인 점포가 많다 (기준 점포 수는 데이터 수집 후 확정)</t>
        </is>
      </c>
      <c r="K1" s="23" t="inlineStr">
        <is>
          <t>[체류 유도성]
앉아서 쉴 수 있는 자리(좌석·벤치)가 있다</t>
        </is>
      </c>
      <c r="L1" s="23" t="inlineStr">
        <is>
          <t>근거
(링크·사진 파일명·메모)</t>
        </is>
      </c>
    </row>
    <row r="2" ht="52" customHeight="1">
      <c r="A2" s="15" t="inlineStr">
        <is>
          <t>가게정보의 id 고르기</t>
        </is>
      </c>
      <c r="B2" s="15" t="inlineStr">
        <is>
          <t>자동</t>
        </is>
      </c>
      <c r="C2" s="15" t="inlineStr">
        <is>
          <t>본인 이름</t>
        </is>
      </c>
      <c r="D2" s="15" t="inlineStr">
        <is>
          <t>확인 방법: 5·18 사적지 목록 등 공식 지정 여부</t>
        </is>
      </c>
      <c r="E2" s="15" t="inlineStr">
        <is>
          <t>확인 방법: 국가유산청 문화유산 검색</t>
        </is>
      </c>
      <c r="F2" s="15" t="inlineStr">
        <is>
          <t>확인 방법: 광주시 대표 음식·음식 거리 지정, 공식 소개 자료</t>
        </is>
      </c>
      <c r="G2" s="15" t="inlineStr">
        <is>
          <t>확인 방법: 개관·개업 연도 (공식 소개, 인허가 자료)</t>
        </is>
      </c>
      <c r="H2" s="15" t="inlineStr">
        <is>
          <t>확인 방법: 가맹사업 정보공개서 조회, 상호 검색</t>
        </is>
      </c>
      <c r="I2" s="15" t="inlineStr">
        <is>
          <t>확인 방법: 소상공인시장진흥공단 전통시장·상점가 자료</t>
        </is>
      </c>
      <c r="J2" s="15" t="inlineStr">
        <is>
          <t>확인 방법: 소상공인 상가(상권)정보 공공데이터</t>
        </is>
      </c>
      <c r="K2" s="15" t="inlineStr">
        <is>
          <t>확인 방법: 현장 확인 (사진)</t>
        </is>
      </c>
      <c r="L2" s="15" t="inlineStr">
        <is>
          <t>O/X를 정한 근거. 항목 이름과 함께 적기</t>
        </is>
      </c>
    </row>
    <row r="3">
      <c r="A3" s="17" t="n"/>
      <c r="B3" s="25">
        <f>IF(A3="","",IFERROR(INDEX(가게정보!$B$3:$B$122,MATCH(A3,가게정보!$A$3:$A$122,0)),"(id를 확인하세요)"))</f>
        <v/>
      </c>
      <c r="C3" s="17" t="n"/>
      <c r="D3" s="26" t="n"/>
      <c r="E3" s="26" t="n"/>
      <c r="F3" s="26" t="n"/>
      <c r="G3" s="26" t="n"/>
      <c r="H3" s="26" t="n"/>
      <c r="I3" s="26" t="n"/>
      <c r="J3" s="26" t="n"/>
      <c r="K3" s="26" t="n"/>
      <c r="L3" s="18" t="n"/>
    </row>
    <row r="4">
      <c r="A4" s="17" t="n"/>
      <c r="B4" s="25">
        <f>IF(A4="","",IFERROR(INDEX(가게정보!$B$3:$B$122,MATCH(A4,가게정보!$A$3:$A$122,0)),"(id를 확인하세요)"))</f>
        <v/>
      </c>
      <c r="C4" s="17" t="n"/>
      <c r="D4" s="26" t="n"/>
      <c r="E4" s="26" t="n"/>
      <c r="F4" s="26" t="n"/>
      <c r="G4" s="26" t="n"/>
      <c r="H4" s="26" t="n"/>
      <c r="I4" s="26" t="n"/>
      <c r="J4" s="26" t="n"/>
      <c r="K4" s="26" t="n"/>
      <c r="L4" s="18" t="n"/>
    </row>
    <row r="5">
      <c r="A5" s="17" t="n"/>
      <c r="B5" s="25">
        <f>IF(A5="","",IFERROR(INDEX(가게정보!$B$3:$B$122,MATCH(A5,가게정보!$A$3:$A$122,0)),"(id를 확인하세요)"))</f>
        <v/>
      </c>
      <c r="C5" s="17" t="n"/>
      <c r="D5" s="26" t="n"/>
      <c r="E5" s="26" t="n"/>
      <c r="F5" s="26" t="n"/>
      <c r="G5" s="26" t="n"/>
      <c r="H5" s="26" t="n"/>
      <c r="I5" s="26" t="n"/>
      <c r="J5" s="26" t="n"/>
      <c r="K5" s="26" t="n"/>
      <c r="L5" s="18" t="n"/>
    </row>
    <row r="6">
      <c r="A6" s="17" t="n"/>
      <c r="B6" s="25">
        <f>IF(A6="","",IFERROR(INDEX(가게정보!$B$3:$B$122,MATCH(A6,가게정보!$A$3:$A$122,0)),"(id를 확인하세요)"))</f>
        <v/>
      </c>
      <c r="C6" s="17" t="n"/>
      <c r="D6" s="26" t="n"/>
      <c r="E6" s="26" t="n"/>
      <c r="F6" s="26" t="n"/>
      <c r="G6" s="26" t="n"/>
      <c r="H6" s="26" t="n"/>
      <c r="I6" s="26" t="n"/>
      <c r="J6" s="26" t="n"/>
      <c r="K6" s="26" t="n"/>
      <c r="L6" s="18" t="n"/>
    </row>
    <row r="7">
      <c r="A7" s="17" t="n"/>
      <c r="B7" s="25">
        <f>IF(A7="","",IFERROR(INDEX(가게정보!$B$3:$B$122,MATCH(A7,가게정보!$A$3:$A$122,0)),"(id를 확인하세요)"))</f>
        <v/>
      </c>
      <c r="C7" s="17" t="n"/>
      <c r="D7" s="26" t="n"/>
      <c r="E7" s="26" t="n"/>
      <c r="F7" s="26" t="n"/>
      <c r="G7" s="26" t="n"/>
      <c r="H7" s="26" t="n"/>
      <c r="I7" s="26" t="n"/>
      <c r="J7" s="26" t="n"/>
      <c r="K7" s="26" t="n"/>
      <c r="L7" s="18" t="n"/>
    </row>
    <row r="8">
      <c r="A8" s="17" t="n"/>
      <c r="B8" s="25">
        <f>IF(A8="","",IFERROR(INDEX(가게정보!$B$3:$B$122,MATCH(A8,가게정보!$A$3:$A$122,0)),"(id를 확인하세요)"))</f>
        <v/>
      </c>
      <c r="C8" s="17" t="n"/>
      <c r="D8" s="26" t="n"/>
      <c r="E8" s="26" t="n"/>
      <c r="F8" s="26" t="n"/>
      <c r="G8" s="26" t="n"/>
      <c r="H8" s="26" t="n"/>
      <c r="I8" s="26" t="n"/>
      <c r="J8" s="26" t="n"/>
      <c r="K8" s="26" t="n"/>
      <c r="L8" s="18" t="n"/>
    </row>
    <row r="9">
      <c r="A9" s="17" t="n"/>
      <c r="B9" s="25">
        <f>IF(A9="","",IFERROR(INDEX(가게정보!$B$3:$B$122,MATCH(A9,가게정보!$A$3:$A$122,0)),"(id를 확인하세요)"))</f>
        <v/>
      </c>
      <c r="C9" s="17" t="n"/>
      <c r="D9" s="26" t="n"/>
      <c r="E9" s="26" t="n"/>
      <c r="F9" s="26" t="n"/>
      <c r="G9" s="26" t="n"/>
      <c r="H9" s="26" t="n"/>
      <c r="I9" s="26" t="n"/>
      <c r="J9" s="26" t="n"/>
      <c r="K9" s="26" t="n"/>
      <c r="L9" s="18" t="n"/>
    </row>
    <row r="10">
      <c r="A10" s="17" t="n"/>
      <c r="B10" s="25">
        <f>IF(A10="","",IFERROR(INDEX(가게정보!$B$3:$B$122,MATCH(A10,가게정보!$A$3:$A$122,0)),"(id를 확인하세요)"))</f>
        <v/>
      </c>
      <c r="C10" s="17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18" t="n"/>
    </row>
    <row r="11">
      <c r="A11" s="17" t="n"/>
      <c r="B11" s="25">
        <f>IF(A11="","",IFERROR(INDEX(가게정보!$B$3:$B$122,MATCH(A11,가게정보!$A$3:$A$122,0)),"(id를 확인하세요)"))</f>
        <v/>
      </c>
      <c r="C11" s="17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18" t="n"/>
    </row>
    <row r="12">
      <c r="A12" s="17" t="n"/>
      <c r="B12" s="25">
        <f>IF(A12="","",IFERROR(INDEX(가게정보!$B$3:$B$122,MATCH(A12,가게정보!$A$3:$A$122,0)),"(id를 확인하세요)"))</f>
        <v/>
      </c>
      <c r="C12" s="17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18" t="n"/>
    </row>
    <row r="13">
      <c r="A13" s="17" t="n"/>
      <c r="B13" s="25">
        <f>IF(A13="","",IFERROR(INDEX(가게정보!$B$3:$B$122,MATCH(A13,가게정보!$A$3:$A$122,0)),"(id를 확인하세요)"))</f>
        <v/>
      </c>
      <c r="C13" s="17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18" t="n"/>
    </row>
    <row r="14">
      <c r="A14" s="17" t="n"/>
      <c r="B14" s="25">
        <f>IF(A14="","",IFERROR(INDEX(가게정보!$B$3:$B$122,MATCH(A14,가게정보!$A$3:$A$122,0)),"(id를 확인하세요)"))</f>
        <v/>
      </c>
      <c r="C14" s="17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18" t="n"/>
    </row>
    <row r="15">
      <c r="A15" s="17" t="n"/>
      <c r="B15" s="25">
        <f>IF(A15="","",IFERROR(INDEX(가게정보!$B$3:$B$122,MATCH(A15,가게정보!$A$3:$A$122,0)),"(id를 확인하세요)"))</f>
        <v/>
      </c>
      <c r="C15" s="17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18" t="n"/>
    </row>
    <row r="16">
      <c r="A16" s="17" t="n"/>
      <c r="B16" s="25">
        <f>IF(A16="","",IFERROR(INDEX(가게정보!$B$3:$B$122,MATCH(A16,가게정보!$A$3:$A$122,0)),"(id를 확인하세요)"))</f>
        <v/>
      </c>
      <c r="C16" s="17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18" t="n"/>
    </row>
    <row r="17">
      <c r="A17" s="17" t="n"/>
      <c r="B17" s="25">
        <f>IF(A17="","",IFERROR(INDEX(가게정보!$B$3:$B$122,MATCH(A17,가게정보!$A$3:$A$122,0)),"(id를 확인하세요)"))</f>
        <v/>
      </c>
      <c r="C17" s="17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18" t="n"/>
    </row>
    <row r="18">
      <c r="A18" s="17" t="n"/>
      <c r="B18" s="25">
        <f>IF(A18="","",IFERROR(INDEX(가게정보!$B$3:$B$122,MATCH(A18,가게정보!$A$3:$A$122,0)),"(id를 확인하세요)"))</f>
        <v/>
      </c>
      <c r="C18" s="17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18" t="n"/>
    </row>
    <row r="19">
      <c r="A19" s="17" t="n"/>
      <c r="B19" s="25">
        <f>IF(A19="","",IFERROR(INDEX(가게정보!$B$3:$B$122,MATCH(A19,가게정보!$A$3:$A$122,0)),"(id를 확인하세요)"))</f>
        <v/>
      </c>
      <c r="C19" s="17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18" t="n"/>
    </row>
    <row r="20">
      <c r="A20" s="17" t="n"/>
      <c r="B20" s="25">
        <f>IF(A20="","",IFERROR(INDEX(가게정보!$B$3:$B$122,MATCH(A20,가게정보!$A$3:$A$122,0)),"(id를 확인하세요)"))</f>
        <v/>
      </c>
      <c r="C20" s="17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18" t="n"/>
    </row>
    <row r="21">
      <c r="A21" s="17" t="n"/>
      <c r="B21" s="25">
        <f>IF(A21="","",IFERROR(INDEX(가게정보!$B$3:$B$122,MATCH(A21,가게정보!$A$3:$A$122,0)),"(id를 확인하세요)"))</f>
        <v/>
      </c>
      <c r="C21" s="17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18" t="n"/>
    </row>
    <row r="22">
      <c r="A22" s="17" t="n"/>
      <c r="B22" s="25">
        <f>IF(A22="","",IFERROR(INDEX(가게정보!$B$3:$B$122,MATCH(A22,가게정보!$A$3:$A$122,0)),"(id를 확인하세요)"))</f>
        <v/>
      </c>
      <c r="C22" s="17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18" t="n"/>
    </row>
    <row r="23">
      <c r="A23" s="17" t="n"/>
      <c r="B23" s="25">
        <f>IF(A23="","",IFERROR(INDEX(가게정보!$B$3:$B$122,MATCH(A23,가게정보!$A$3:$A$122,0)),"(id를 확인하세요)"))</f>
        <v/>
      </c>
      <c r="C23" s="17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18" t="n"/>
    </row>
    <row r="24">
      <c r="A24" s="17" t="n"/>
      <c r="B24" s="25">
        <f>IF(A24="","",IFERROR(INDEX(가게정보!$B$3:$B$122,MATCH(A24,가게정보!$A$3:$A$122,0)),"(id를 확인하세요)"))</f>
        <v/>
      </c>
      <c r="C24" s="17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18" t="n"/>
    </row>
    <row r="25">
      <c r="A25" s="17" t="n"/>
      <c r="B25" s="25">
        <f>IF(A25="","",IFERROR(INDEX(가게정보!$B$3:$B$122,MATCH(A25,가게정보!$A$3:$A$122,0)),"(id를 확인하세요)"))</f>
        <v/>
      </c>
      <c r="C25" s="17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18" t="n"/>
    </row>
    <row r="26">
      <c r="A26" s="17" t="n"/>
      <c r="B26" s="25">
        <f>IF(A26="","",IFERROR(INDEX(가게정보!$B$3:$B$122,MATCH(A26,가게정보!$A$3:$A$122,0)),"(id를 확인하세요)"))</f>
        <v/>
      </c>
      <c r="C26" s="17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18" t="n"/>
    </row>
    <row r="27">
      <c r="A27" s="17" t="n"/>
      <c r="B27" s="25">
        <f>IF(A27="","",IFERROR(INDEX(가게정보!$B$3:$B$122,MATCH(A27,가게정보!$A$3:$A$122,0)),"(id를 확인하세요)"))</f>
        <v/>
      </c>
      <c r="C27" s="17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18" t="n"/>
    </row>
    <row r="28">
      <c r="A28" s="17" t="n"/>
      <c r="B28" s="25">
        <f>IF(A28="","",IFERROR(INDEX(가게정보!$B$3:$B$122,MATCH(A28,가게정보!$A$3:$A$122,0)),"(id를 확인하세요)"))</f>
        <v/>
      </c>
      <c r="C28" s="17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18" t="n"/>
    </row>
    <row r="29">
      <c r="A29" s="17" t="n"/>
      <c r="B29" s="25">
        <f>IF(A29="","",IFERROR(INDEX(가게정보!$B$3:$B$122,MATCH(A29,가게정보!$A$3:$A$122,0)),"(id를 확인하세요)"))</f>
        <v/>
      </c>
      <c r="C29" s="17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18" t="n"/>
    </row>
    <row r="30">
      <c r="A30" s="17" t="n"/>
      <c r="B30" s="25">
        <f>IF(A30="","",IFERROR(INDEX(가게정보!$B$3:$B$122,MATCH(A30,가게정보!$A$3:$A$122,0)),"(id를 확인하세요)"))</f>
        <v/>
      </c>
      <c r="C30" s="17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18" t="n"/>
    </row>
    <row r="31">
      <c r="A31" s="17" t="n"/>
      <c r="B31" s="25">
        <f>IF(A31="","",IFERROR(INDEX(가게정보!$B$3:$B$122,MATCH(A31,가게정보!$A$3:$A$122,0)),"(id를 확인하세요)"))</f>
        <v/>
      </c>
      <c r="C31" s="17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18" t="n"/>
    </row>
    <row r="32">
      <c r="A32" s="17" t="n"/>
      <c r="B32" s="25">
        <f>IF(A32="","",IFERROR(INDEX(가게정보!$B$3:$B$122,MATCH(A32,가게정보!$A$3:$A$122,0)),"(id를 확인하세요)"))</f>
        <v/>
      </c>
      <c r="C32" s="17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18" t="n"/>
    </row>
    <row r="33">
      <c r="A33" s="17" t="n"/>
      <c r="B33" s="25">
        <f>IF(A33="","",IFERROR(INDEX(가게정보!$B$3:$B$122,MATCH(A33,가게정보!$A$3:$A$122,0)),"(id를 확인하세요)"))</f>
        <v/>
      </c>
      <c r="C33" s="17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18" t="n"/>
    </row>
    <row r="34">
      <c r="A34" s="17" t="n"/>
      <c r="B34" s="25">
        <f>IF(A34="","",IFERROR(INDEX(가게정보!$B$3:$B$122,MATCH(A34,가게정보!$A$3:$A$122,0)),"(id를 확인하세요)"))</f>
        <v/>
      </c>
      <c r="C34" s="17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18" t="n"/>
    </row>
    <row r="35">
      <c r="A35" s="17" t="n"/>
      <c r="B35" s="25">
        <f>IF(A35="","",IFERROR(INDEX(가게정보!$B$3:$B$122,MATCH(A35,가게정보!$A$3:$A$122,0)),"(id를 확인하세요)"))</f>
        <v/>
      </c>
      <c r="C35" s="17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18" t="n"/>
    </row>
    <row r="36">
      <c r="A36" s="17" t="n"/>
      <c r="B36" s="25">
        <f>IF(A36="","",IFERROR(INDEX(가게정보!$B$3:$B$122,MATCH(A36,가게정보!$A$3:$A$122,0)),"(id를 확인하세요)"))</f>
        <v/>
      </c>
      <c r="C36" s="17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18" t="n"/>
    </row>
    <row r="37">
      <c r="A37" s="17" t="n"/>
      <c r="B37" s="25">
        <f>IF(A37="","",IFERROR(INDEX(가게정보!$B$3:$B$122,MATCH(A37,가게정보!$A$3:$A$122,0)),"(id를 확인하세요)"))</f>
        <v/>
      </c>
      <c r="C37" s="17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18" t="n"/>
    </row>
    <row r="38">
      <c r="A38" s="17" t="n"/>
      <c r="B38" s="25">
        <f>IF(A38="","",IFERROR(INDEX(가게정보!$B$3:$B$122,MATCH(A38,가게정보!$A$3:$A$122,0)),"(id를 확인하세요)"))</f>
        <v/>
      </c>
      <c r="C38" s="17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18" t="n"/>
    </row>
    <row r="39">
      <c r="A39" s="17" t="n"/>
      <c r="B39" s="25">
        <f>IF(A39="","",IFERROR(INDEX(가게정보!$B$3:$B$122,MATCH(A39,가게정보!$A$3:$A$122,0)),"(id를 확인하세요)"))</f>
        <v/>
      </c>
      <c r="C39" s="17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18" t="n"/>
    </row>
    <row r="40">
      <c r="A40" s="17" t="n"/>
      <c r="B40" s="25">
        <f>IF(A40="","",IFERROR(INDEX(가게정보!$B$3:$B$122,MATCH(A40,가게정보!$A$3:$A$122,0)),"(id를 확인하세요)"))</f>
        <v/>
      </c>
      <c r="C40" s="17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18" t="n"/>
    </row>
    <row r="41">
      <c r="A41" s="17" t="n"/>
      <c r="B41" s="25">
        <f>IF(A41="","",IFERROR(INDEX(가게정보!$B$3:$B$122,MATCH(A41,가게정보!$A$3:$A$122,0)),"(id를 확인하세요)"))</f>
        <v/>
      </c>
      <c r="C41" s="17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18" t="n"/>
    </row>
    <row r="42">
      <c r="A42" s="17" t="n"/>
      <c r="B42" s="25">
        <f>IF(A42="","",IFERROR(INDEX(가게정보!$B$3:$B$122,MATCH(A42,가게정보!$A$3:$A$122,0)),"(id를 확인하세요)"))</f>
        <v/>
      </c>
      <c r="C42" s="17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18" t="n"/>
    </row>
    <row r="43">
      <c r="A43" s="17" t="n"/>
      <c r="B43" s="25">
        <f>IF(A43="","",IFERROR(INDEX(가게정보!$B$3:$B$122,MATCH(A43,가게정보!$A$3:$A$122,0)),"(id를 확인하세요)"))</f>
        <v/>
      </c>
      <c r="C43" s="17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18" t="n"/>
    </row>
    <row r="44">
      <c r="A44" s="17" t="n"/>
      <c r="B44" s="25">
        <f>IF(A44="","",IFERROR(INDEX(가게정보!$B$3:$B$122,MATCH(A44,가게정보!$A$3:$A$122,0)),"(id를 확인하세요)"))</f>
        <v/>
      </c>
      <c r="C44" s="17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18" t="n"/>
    </row>
    <row r="45">
      <c r="A45" s="17" t="n"/>
      <c r="B45" s="25">
        <f>IF(A45="","",IFERROR(INDEX(가게정보!$B$3:$B$122,MATCH(A45,가게정보!$A$3:$A$122,0)),"(id를 확인하세요)"))</f>
        <v/>
      </c>
      <c r="C45" s="17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18" t="n"/>
    </row>
    <row r="46">
      <c r="A46" s="17" t="n"/>
      <c r="B46" s="25">
        <f>IF(A46="","",IFERROR(INDEX(가게정보!$B$3:$B$122,MATCH(A46,가게정보!$A$3:$A$122,0)),"(id를 확인하세요)"))</f>
        <v/>
      </c>
      <c r="C46" s="17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18" t="n"/>
    </row>
    <row r="47">
      <c r="A47" s="17" t="n"/>
      <c r="B47" s="25">
        <f>IF(A47="","",IFERROR(INDEX(가게정보!$B$3:$B$122,MATCH(A47,가게정보!$A$3:$A$122,0)),"(id를 확인하세요)"))</f>
        <v/>
      </c>
      <c r="C47" s="17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18" t="n"/>
    </row>
    <row r="48">
      <c r="A48" s="17" t="n"/>
      <c r="B48" s="25">
        <f>IF(A48="","",IFERROR(INDEX(가게정보!$B$3:$B$122,MATCH(A48,가게정보!$A$3:$A$122,0)),"(id를 확인하세요)"))</f>
        <v/>
      </c>
      <c r="C48" s="17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18" t="n"/>
    </row>
    <row r="49">
      <c r="A49" s="17" t="n"/>
      <c r="B49" s="25">
        <f>IF(A49="","",IFERROR(INDEX(가게정보!$B$3:$B$122,MATCH(A49,가게정보!$A$3:$A$122,0)),"(id를 확인하세요)"))</f>
        <v/>
      </c>
      <c r="C49" s="17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18" t="n"/>
    </row>
    <row r="50">
      <c r="A50" s="17" t="n"/>
      <c r="B50" s="25">
        <f>IF(A50="","",IFERROR(INDEX(가게정보!$B$3:$B$122,MATCH(A50,가게정보!$A$3:$A$122,0)),"(id를 확인하세요)"))</f>
        <v/>
      </c>
      <c r="C50" s="17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18" t="n"/>
    </row>
    <row r="51">
      <c r="A51" s="17" t="n"/>
      <c r="B51" s="25">
        <f>IF(A51="","",IFERROR(INDEX(가게정보!$B$3:$B$122,MATCH(A51,가게정보!$A$3:$A$122,0)),"(id를 확인하세요)"))</f>
        <v/>
      </c>
      <c r="C51" s="17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18" t="n"/>
    </row>
    <row r="52">
      <c r="A52" s="17" t="n"/>
      <c r="B52" s="25">
        <f>IF(A52="","",IFERROR(INDEX(가게정보!$B$3:$B$122,MATCH(A52,가게정보!$A$3:$A$122,0)),"(id를 확인하세요)"))</f>
        <v/>
      </c>
      <c r="C52" s="17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18" t="n"/>
    </row>
    <row r="53">
      <c r="A53" s="17" t="n"/>
      <c r="B53" s="25">
        <f>IF(A53="","",IFERROR(INDEX(가게정보!$B$3:$B$122,MATCH(A53,가게정보!$A$3:$A$122,0)),"(id를 확인하세요)"))</f>
        <v/>
      </c>
      <c r="C53" s="17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18" t="n"/>
    </row>
    <row r="54">
      <c r="A54" s="17" t="n"/>
      <c r="B54" s="25">
        <f>IF(A54="","",IFERROR(INDEX(가게정보!$B$3:$B$122,MATCH(A54,가게정보!$A$3:$A$122,0)),"(id를 확인하세요)"))</f>
        <v/>
      </c>
      <c r="C54" s="17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18" t="n"/>
    </row>
    <row r="55">
      <c r="A55" s="17" t="n"/>
      <c r="B55" s="25">
        <f>IF(A55="","",IFERROR(INDEX(가게정보!$B$3:$B$122,MATCH(A55,가게정보!$A$3:$A$122,0)),"(id를 확인하세요)"))</f>
        <v/>
      </c>
      <c r="C55" s="17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18" t="n"/>
    </row>
    <row r="56">
      <c r="A56" s="17" t="n"/>
      <c r="B56" s="25">
        <f>IF(A56="","",IFERROR(INDEX(가게정보!$B$3:$B$122,MATCH(A56,가게정보!$A$3:$A$122,0)),"(id를 확인하세요)"))</f>
        <v/>
      </c>
      <c r="C56" s="17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18" t="n"/>
    </row>
    <row r="57">
      <c r="A57" s="17" t="n"/>
      <c r="B57" s="25">
        <f>IF(A57="","",IFERROR(INDEX(가게정보!$B$3:$B$122,MATCH(A57,가게정보!$A$3:$A$122,0)),"(id를 확인하세요)"))</f>
        <v/>
      </c>
      <c r="C57" s="17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18" t="n"/>
    </row>
    <row r="58">
      <c r="A58" s="17" t="n"/>
      <c r="B58" s="25">
        <f>IF(A58="","",IFERROR(INDEX(가게정보!$B$3:$B$122,MATCH(A58,가게정보!$A$3:$A$122,0)),"(id를 확인하세요)"))</f>
        <v/>
      </c>
      <c r="C58" s="17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18" t="n"/>
    </row>
    <row r="59">
      <c r="A59" s="17" t="n"/>
      <c r="B59" s="25">
        <f>IF(A59="","",IFERROR(INDEX(가게정보!$B$3:$B$122,MATCH(A59,가게정보!$A$3:$A$122,0)),"(id를 확인하세요)"))</f>
        <v/>
      </c>
      <c r="C59" s="17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18" t="n"/>
    </row>
    <row r="60">
      <c r="A60" s="17" t="n"/>
      <c r="B60" s="25">
        <f>IF(A60="","",IFERROR(INDEX(가게정보!$B$3:$B$122,MATCH(A60,가게정보!$A$3:$A$122,0)),"(id를 확인하세요)"))</f>
        <v/>
      </c>
      <c r="C60" s="17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18" t="n"/>
    </row>
    <row r="61">
      <c r="A61" s="17" t="n"/>
      <c r="B61" s="25">
        <f>IF(A61="","",IFERROR(INDEX(가게정보!$B$3:$B$122,MATCH(A61,가게정보!$A$3:$A$122,0)),"(id를 확인하세요)"))</f>
        <v/>
      </c>
      <c r="C61" s="17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18" t="n"/>
    </row>
    <row r="62">
      <c r="A62" s="17" t="n"/>
      <c r="B62" s="25">
        <f>IF(A62="","",IFERROR(INDEX(가게정보!$B$3:$B$122,MATCH(A62,가게정보!$A$3:$A$122,0)),"(id를 확인하세요)"))</f>
        <v/>
      </c>
      <c r="C62" s="17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18" t="n"/>
    </row>
    <row r="63">
      <c r="A63" s="17" t="n"/>
      <c r="B63" s="25">
        <f>IF(A63="","",IFERROR(INDEX(가게정보!$B$3:$B$122,MATCH(A63,가게정보!$A$3:$A$122,0)),"(id를 확인하세요)"))</f>
        <v/>
      </c>
      <c r="C63" s="17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18" t="n"/>
    </row>
    <row r="64">
      <c r="A64" s="17" t="n"/>
      <c r="B64" s="25">
        <f>IF(A64="","",IFERROR(INDEX(가게정보!$B$3:$B$122,MATCH(A64,가게정보!$A$3:$A$122,0)),"(id를 확인하세요)"))</f>
        <v/>
      </c>
      <c r="C64" s="17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18" t="n"/>
    </row>
    <row r="65">
      <c r="A65" s="17" t="n"/>
      <c r="B65" s="25">
        <f>IF(A65="","",IFERROR(INDEX(가게정보!$B$3:$B$122,MATCH(A65,가게정보!$A$3:$A$122,0)),"(id를 확인하세요)"))</f>
        <v/>
      </c>
      <c r="C65" s="17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18" t="n"/>
    </row>
    <row r="66">
      <c r="A66" s="17" t="n"/>
      <c r="B66" s="25">
        <f>IF(A66="","",IFERROR(INDEX(가게정보!$B$3:$B$122,MATCH(A66,가게정보!$A$3:$A$122,0)),"(id를 확인하세요)"))</f>
        <v/>
      </c>
      <c r="C66" s="17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18" t="n"/>
    </row>
    <row r="67">
      <c r="A67" s="17" t="n"/>
      <c r="B67" s="25">
        <f>IF(A67="","",IFERROR(INDEX(가게정보!$B$3:$B$122,MATCH(A67,가게정보!$A$3:$A$122,0)),"(id를 확인하세요)"))</f>
        <v/>
      </c>
      <c r="C67" s="17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18" t="n"/>
    </row>
    <row r="68">
      <c r="A68" s="17" t="n"/>
      <c r="B68" s="25">
        <f>IF(A68="","",IFERROR(INDEX(가게정보!$B$3:$B$122,MATCH(A68,가게정보!$A$3:$A$122,0)),"(id를 확인하세요)"))</f>
        <v/>
      </c>
      <c r="C68" s="17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18" t="n"/>
    </row>
    <row r="69">
      <c r="A69" s="17" t="n"/>
      <c r="B69" s="25">
        <f>IF(A69="","",IFERROR(INDEX(가게정보!$B$3:$B$122,MATCH(A69,가게정보!$A$3:$A$122,0)),"(id를 확인하세요)"))</f>
        <v/>
      </c>
      <c r="C69" s="17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18" t="n"/>
    </row>
    <row r="70">
      <c r="A70" s="17" t="n"/>
      <c r="B70" s="25">
        <f>IF(A70="","",IFERROR(INDEX(가게정보!$B$3:$B$122,MATCH(A70,가게정보!$A$3:$A$122,0)),"(id를 확인하세요)"))</f>
        <v/>
      </c>
      <c r="C70" s="17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18" t="n"/>
    </row>
    <row r="71">
      <c r="A71" s="17" t="n"/>
      <c r="B71" s="25">
        <f>IF(A71="","",IFERROR(INDEX(가게정보!$B$3:$B$122,MATCH(A71,가게정보!$A$3:$A$122,0)),"(id를 확인하세요)"))</f>
        <v/>
      </c>
      <c r="C71" s="17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18" t="n"/>
    </row>
    <row r="72">
      <c r="A72" s="17" t="n"/>
      <c r="B72" s="25">
        <f>IF(A72="","",IFERROR(INDEX(가게정보!$B$3:$B$122,MATCH(A72,가게정보!$A$3:$A$122,0)),"(id를 확인하세요)"))</f>
        <v/>
      </c>
      <c r="C72" s="17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18" t="n"/>
    </row>
    <row r="73">
      <c r="A73" s="17" t="n"/>
      <c r="B73" s="25">
        <f>IF(A73="","",IFERROR(INDEX(가게정보!$B$3:$B$122,MATCH(A73,가게정보!$A$3:$A$122,0)),"(id를 확인하세요)"))</f>
        <v/>
      </c>
      <c r="C73" s="17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18" t="n"/>
    </row>
    <row r="74">
      <c r="A74" s="17" t="n"/>
      <c r="B74" s="25">
        <f>IF(A74="","",IFERROR(INDEX(가게정보!$B$3:$B$122,MATCH(A74,가게정보!$A$3:$A$122,0)),"(id를 확인하세요)"))</f>
        <v/>
      </c>
      <c r="C74" s="17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18" t="n"/>
    </row>
    <row r="75">
      <c r="A75" s="17" t="n"/>
      <c r="B75" s="25">
        <f>IF(A75="","",IFERROR(INDEX(가게정보!$B$3:$B$122,MATCH(A75,가게정보!$A$3:$A$122,0)),"(id를 확인하세요)"))</f>
        <v/>
      </c>
      <c r="C75" s="17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18" t="n"/>
    </row>
    <row r="76">
      <c r="A76" s="17" t="n"/>
      <c r="B76" s="25">
        <f>IF(A76="","",IFERROR(INDEX(가게정보!$B$3:$B$122,MATCH(A76,가게정보!$A$3:$A$122,0)),"(id를 확인하세요)"))</f>
        <v/>
      </c>
      <c r="C76" s="17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18" t="n"/>
    </row>
    <row r="77">
      <c r="A77" s="17" t="n"/>
      <c r="B77" s="25">
        <f>IF(A77="","",IFERROR(INDEX(가게정보!$B$3:$B$122,MATCH(A77,가게정보!$A$3:$A$122,0)),"(id를 확인하세요)"))</f>
        <v/>
      </c>
      <c r="C77" s="17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18" t="n"/>
    </row>
    <row r="78">
      <c r="A78" s="17" t="n"/>
      <c r="B78" s="25">
        <f>IF(A78="","",IFERROR(INDEX(가게정보!$B$3:$B$122,MATCH(A78,가게정보!$A$3:$A$122,0)),"(id를 확인하세요)"))</f>
        <v/>
      </c>
      <c r="C78" s="17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18" t="n"/>
    </row>
    <row r="79">
      <c r="A79" s="17" t="n"/>
      <c r="B79" s="25">
        <f>IF(A79="","",IFERROR(INDEX(가게정보!$B$3:$B$122,MATCH(A79,가게정보!$A$3:$A$122,0)),"(id를 확인하세요)"))</f>
        <v/>
      </c>
      <c r="C79" s="17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18" t="n"/>
    </row>
    <row r="80">
      <c r="A80" s="17" t="n"/>
      <c r="B80" s="25">
        <f>IF(A80="","",IFERROR(INDEX(가게정보!$B$3:$B$122,MATCH(A80,가게정보!$A$3:$A$122,0)),"(id를 확인하세요)"))</f>
        <v/>
      </c>
      <c r="C80" s="17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18" t="n"/>
    </row>
    <row r="81">
      <c r="A81" s="17" t="n"/>
      <c r="B81" s="25">
        <f>IF(A81="","",IFERROR(INDEX(가게정보!$B$3:$B$122,MATCH(A81,가게정보!$A$3:$A$122,0)),"(id를 확인하세요)"))</f>
        <v/>
      </c>
      <c r="C81" s="17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18" t="n"/>
    </row>
    <row r="82">
      <c r="A82" s="17" t="n"/>
      <c r="B82" s="25">
        <f>IF(A82="","",IFERROR(INDEX(가게정보!$B$3:$B$122,MATCH(A82,가게정보!$A$3:$A$122,0)),"(id를 확인하세요)"))</f>
        <v/>
      </c>
      <c r="C82" s="17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18" t="n"/>
    </row>
    <row r="83">
      <c r="A83" s="17" t="n"/>
      <c r="B83" s="25">
        <f>IF(A83="","",IFERROR(INDEX(가게정보!$B$3:$B$122,MATCH(A83,가게정보!$A$3:$A$122,0)),"(id를 확인하세요)"))</f>
        <v/>
      </c>
      <c r="C83" s="17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18" t="n"/>
    </row>
    <row r="84">
      <c r="A84" s="17" t="n"/>
      <c r="B84" s="25">
        <f>IF(A84="","",IFERROR(INDEX(가게정보!$B$3:$B$122,MATCH(A84,가게정보!$A$3:$A$122,0)),"(id를 확인하세요)"))</f>
        <v/>
      </c>
      <c r="C84" s="17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18" t="n"/>
    </row>
    <row r="85">
      <c r="A85" s="17" t="n"/>
      <c r="B85" s="25">
        <f>IF(A85="","",IFERROR(INDEX(가게정보!$B$3:$B$122,MATCH(A85,가게정보!$A$3:$A$122,0)),"(id를 확인하세요)"))</f>
        <v/>
      </c>
      <c r="C85" s="17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18" t="n"/>
    </row>
    <row r="86">
      <c r="A86" s="17" t="n"/>
      <c r="B86" s="25">
        <f>IF(A86="","",IFERROR(INDEX(가게정보!$B$3:$B$122,MATCH(A86,가게정보!$A$3:$A$122,0)),"(id를 확인하세요)"))</f>
        <v/>
      </c>
      <c r="C86" s="17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18" t="n"/>
    </row>
    <row r="87">
      <c r="A87" s="17" t="n"/>
      <c r="B87" s="25">
        <f>IF(A87="","",IFERROR(INDEX(가게정보!$B$3:$B$122,MATCH(A87,가게정보!$A$3:$A$122,0)),"(id를 확인하세요)"))</f>
        <v/>
      </c>
      <c r="C87" s="17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18" t="n"/>
    </row>
    <row r="88">
      <c r="A88" s="17" t="n"/>
      <c r="B88" s="25">
        <f>IF(A88="","",IFERROR(INDEX(가게정보!$B$3:$B$122,MATCH(A88,가게정보!$A$3:$A$122,0)),"(id를 확인하세요)"))</f>
        <v/>
      </c>
      <c r="C88" s="17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18" t="n"/>
    </row>
    <row r="89">
      <c r="A89" s="17" t="n"/>
      <c r="B89" s="25">
        <f>IF(A89="","",IFERROR(INDEX(가게정보!$B$3:$B$122,MATCH(A89,가게정보!$A$3:$A$122,0)),"(id를 확인하세요)"))</f>
        <v/>
      </c>
      <c r="C89" s="17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18" t="n"/>
    </row>
    <row r="90">
      <c r="A90" s="17" t="n"/>
      <c r="B90" s="25">
        <f>IF(A90="","",IFERROR(INDEX(가게정보!$B$3:$B$122,MATCH(A90,가게정보!$A$3:$A$122,0)),"(id를 확인하세요)"))</f>
        <v/>
      </c>
      <c r="C90" s="17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18" t="n"/>
    </row>
    <row r="91">
      <c r="A91" s="17" t="n"/>
      <c r="B91" s="25">
        <f>IF(A91="","",IFERROR(INDEX(가게정보!$B$3:$B$122,MATCH(A91,가게정보!$A$3:$A$122,0)),"(id를 확인하세요)"))</f>
        <v/>
      </c>
      <c r="C91" s="17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18" t="n"/>
    </row>
    <row r="92">
      <c r="A92" s="17" t="n"/>
      <c r="B92" s="25">
        <f>IF(A92="","",IFERROR(INDEX(가게정보!$B$3:$B$122,MATCH(A92,가게정보!$A$3:$A$122,0)),"(id를 확인하세요)"))</f>
        <v/>
      </c>
      <c r="C92" s="17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18" t="n"/>
    </row>
    <row r="93">
      <c r="A93" s="17" t="n"/>
      <c r="B93" s="25">
        <f>IF(A93="","",IFERROR(INDEX(가게정보!$B$3:$B$122,MATCH(A93,가게정보!$A$3:$A$122,0)),"(id를 확인하세요)"))</f>
        <v/>
      </c>
      <c r="C93" s="17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18" t="n"/>
    </row>
    <row r="94">
      <c r="A94" s="17" t="n"/>
      <c r="B94" s="25">
        <f>IF(A94="","",IFERROR(INDEX(가게정보!$B$3:$B$122,MATCH(A94,가게정보!$A$3:$A$122,0)),"(id를 확인하세요)"))</f>
        <v/>
      </c>
      <c r="C94" s="17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18" t="n"/>
    </row>
    <row r="95">
      <c r="A95" s="17" t="n"/>
      <c r="B95" s="25">
        <f>IF(A95="","",IFERROR(INDEX(가게정보!$B$3:$B$122,MATCH(A95,가게정보!$A$3:$A$122,0)),"(id를 확인하세요)"))</f>
        <v/>
      </c>
      <c r="C95" s="17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18" t="n"/>
    </row>
    <row r="96">
      <c r="A96" s="17" t="n"/>
      <c r="B96" s="25">
        <f>IF(A96="","",IFERROR(INDEX(가게정보!$B$3:$B$122,MATCH(A96,가게정보!$A$3:$A$122,0)),"(id를 확인하세요)"))</f>
        <v/>
      </c>
      <c r="C96" s="17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18" t="n"/>
    </row>
    <row r="97">
      <c r="A97" s="17" t="n"/>
      <c r="B97" s="25">
        <f>IF(A97="","",IFERROR(INDEX(가게정보!$B$3:$B$122,MATCH(A97,가게정보!$A$3:$A$122,0)),"(id를 확인하세요)"))</f>
        <v/>
      </c>
      <c r="C97" s="17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18" t="n"/>
    </row>
    <row r="98">
      <c r="A98" s="17" t="n"/>
      <c r="B98" s="25">
        <f>IF(A98="","",IFERROR(INDEX(가게정보!$B$3:$B$122,MATCH(A98,가게정보!$A$3:$A$122,0)),"(id를 확인하세요)"))</f>
        <v/>
      </c>
      <c r="C98" s="17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18" t="n"/>
    </row>
    <row r="99">
      <c r="A99" s="17" t="n"/>
      <c r="B99" s="25">
        <f>IF(A99="","",IFERROR(INDEX(가게정보!$B$3:$B$122,MATCH(A99,가게정보!$A$3:$A$122,0)),"(id를 확인하세요)"))</f>
        <v/>
      </c>
      <c r="C99" s="17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18" t="n"/>
    </row>
    <row r="100">
      <c r="A100" s="17" t="n"/>
      <c r="B100" s="25">
        <f>IF(A100="","",IFERROR(INDEX(가게정보!$B$3:$B$122,MATCH(A100,가게정보!$A$3:$A$122,0)),"(id를 확인하세요)"))</f>
        <v/>
      </c>
      <c r="C100" s="17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18" t="n"/>
    </row>
    <row r="101">
      <c r="A101" s="17" t="n"/>
      <c r="B101" s="25">
        <f>IF(A101="","",IFERROR(INDEX(가게정보!$B$3:$B$122,MATCH(A101,가게정보!$A$3:$A$122,0)),"(id를 확인하세요)"))</f>
        <v/>
      </c>
      <c r="C101" s="17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18" t="n"/>
    </row>
    <row r="102">
      <c r="A102" s="17" t="n"/>
      <c r="B102" s="25">
        <f>IF(A102="","",IFERROR(INDEX(가게정보!$B$3:$B$122,MATCH(A102,가게정보!$A$3:$A$122,0)),"(id를 확인하세요)"))</f>
        <v/>
      </c>
      <c r="C102" s="17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18" t="n"/>
    </row>
    <row r="103">
      <c r="A103" s="17" t="n"/>
      <c r="B103" s="25">
        <f>IF(A103="","",IFERROR(INDEX(가게정보!$B$3:$B$122,MATCH(A103,가게정보!$A$3:$A$122,0)),"(id를 확인하세요)"))</f>
        <v/>
      </c>
      <c r="C103" s="17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18" t="n"/>
    </row>
    <row r="104">
      <c r="A104" s="17" t="n"/>
      <c r="B104" s="25">
        <f>IF(A104="","",IFERROR(INDEX(가게정보!$B$3:$B$122,MATCH(A104,가게정보!$A$3:$A$122,0)),"(id를 확인하세요)"))</f>
        <v/>
      </c>
      <c r="C104" s="17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18" t="n"/>
    </row>
    <row r="105">
      <c r="A105" s="17" t="n"/>
      <c r="B105" s="25">
        <f>IF(A105="","",IFERROR(INDEX(가게정보!$B$3:$B$122,MATCH(A105,가게정보!$A$3:$A$122,0)),"(id를 확인하세요)"))</f>
        <v/>
      </c>
      <c r="C105" s="17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18" t="n"/>
    </row>
    <row r="106">
      <c r="A106" s="17" t="n"/>
      <c r="B106" s="25">
        <f>IF(A106="","",IFERROR(INDEX(가게정보!$B$3:$B$122,MATCH(A106,가게정보!$A$3:$A$122,0)),"(id를 확인하세요)"))</f>
        <v/>
      </c>
      <c r="C106" s="17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18" t="n"/>
    </row>
    <row r="107">
      <c r="A107" s="17" t="n"/>
      <c r="B107" s="25">
        <f>IF(A107="","",IFERROR(INDEX(가게정보!$B$3:$B$122,MATCH(A107,가게정보!$A$3:$A$122,0)),"(id를 확인하세요)"))</f>
        <v/>
      </c>
      <c r="C107" s="17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18" t="n"/>
    </row>
    <row r="108">
      <c r="A108" s="17" t="n"/>
      <c r="B108" s="25">
        <f>IF(A108="","",IFERROR(INDEX(가게정보!$B$3:$B$122,MATCH(A108,가게정보!$A$3:$A$122,0)),"(id를 확인하세요)"))</f>
        <v/>
      </c>
      <c r="C108" s="17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18" t="n"/>
    </row>
    <row r="109">
      <c r="A109" s="17" t="n"/>
      <c r="B109" s="25">
        <f>IF(A109="","",IFERROR(INDEX(가게정보!$B$3:$B$122,MATCH(A109,가게정보!$A$3:$A$122,0)),"(id를 확인하세요)"))</f>
        <v/>
      </c>
      <c r="C109" s="17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18" t="n"/>
    </row>
    <row r="110">
      <c r="A110" s="17" t="n"/>
      <c r="B110" s="25">
        <f>IF(A110="","",IFERROR(INDEX(가게정보!$B$3:$B$122,MATCH(A110,가게정보!$A$3:$A$122,0)),"(id를 확인하세요)"))</f>
        <v/>
      </c>
      <c r="C110" s="17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18" t="n"/>
    </row>
    <row r="111">
      <c r="A111" s="17" t="n"/>
      <c r="B111" s="25">
        <f>IF(A111="","",IFERROR(INDEX(가게정보!$B$3:$B$122,MATCH(A111,가게정보!$A$3:$A$122,0)),"(id를 확인하세요)"))</f>
        <v/>
      </c>
      <c r="C111" s="17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18" t="n"/>
    </row>
    <row r="112">
      <c r="A112" s="17" t="n"/>
      <c r="B112" s="25">
        <f>IF(A112="","",IFERROR(INDEX(가게정보!$B$3:$B$122,MATCH(A112,가게정보!$A$3:$A$122,0)),"(id를 확인하세요)"))</f>
        <v/>
      </c>
      <c r="C112" s="17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18" t="n"/>
    </row>
    <row r="113">
      <c r="A113" s="17" t="n"/>
      <c r="B113" s="25">
        <f>IF(A113="","",IFERROR(INDEX(가게정보!$B$3:$B$122,MATCH(A113,가게정보!$A$3:$A$122,0)),"(id를 확인하세요)"))</f>
        <v/>
      </c>
      <c r="C113" s="17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18" t="n"/>
    </row>
    <row r="114">
      <c r="A114" s="17" t="n"/>
      <c r="B114" s="25">
        <f>IF(A114="","",IFERROR(INDEX(가게정보!$B$3:$B$122,MATCH(A114,가게정보!$A$3:$A$122,0)),"(id를 확인하세요)"))</f>
        <v/>
      </c>
      <c r="C114" s="17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18" t="n"/>
    </row>
    <row r="115">
      <c r="A115" s="17" t="n"/>
      <c r="B115" s="25">
        <f>IF(A115="","",IFERROR(INDEX(가게정보!$B$3:$B$122,MATCH(A115,가게정보!$A$3:$A$122,0)),"(id를 확인하세요)"))</f>
        <v/>
      </c>
      <c r="C115" s="17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18" t="n"/>
    </row>
    <row r="116">
      <c r="A116" s="17" t="n"/>
      <c r="B116" s="25">
        <f>IF(A116="","",IFERROR(INDEX(가게정보!$B$3:$B$122,MATCH(A116,가게정보!$A$3:$A$122,0)),"(id를 확인하세요)"))</f>
        <v/>
      </c>
      <c r="C116" s="17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18" t="n"/>
    </row>
    <row r="117">
      <c r="A117" s="17" t="n"/>
      <c r="B117" s="25">
        <f>IF(A117="","",IFERROR(INDEX(가게정보!$B$3:$B$122,MATCH(A117,가게정보!$A$3:$A$122,0)),"(id를 확인하세요)"))</f>
        <v/>
      </c>
      <c r="C117" s="17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18" t="n"/>
    </row>
    <row r="118">
      <c r="A118" s="17" t="n"/>
      <c r="B118" s="25">
        <f>IF(A118="","",IFERROR(INDEX(가게정보!$B$3:$B$122,MATCH(A118,가게정보!$A$3:$A$122,0)),"(id를 확인하세요)"))</f>
        <v/>
      </c>
      <c r="C118" s="17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18" t="n"/>
    </row>
    <row r="119">
      <c r="A119" s="17" t="n"/>
      <c r="B119" s="25">
        <f>IF(A119="","",IFERROR(INDEX(가게정보!$B$3:$B$122,MATCH(A119,가게정보!$A$3:$A$122,0)),"(id를 확인하세요)"))</f>
        <v/>
      </c>
      <c r="C119" s="17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18" t="n"/>
    </row>
    <row r="120">
      <c r="A120" s="17" t="n"/>
      <c r="B120" s="25">
        <f>IF(A120="","",IFERROR(INDEX(가게정보!$B$3:$B$122,MATCH(A120,가게정보!$A$3:$A$122,0)),"(id를 확인하세요)"))</f>
        <v/>
      </c>
      <c r="C120" s="17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18" t="n"/>
    </row>
    <row r="121">
      <c r="A121" s="17" t="n"/>
      <c r="B121" s="25">
        <f>IF(A121="","",IFERROR(INDEX(가게정보!$B$3:$B$122,MATCH(A121,가게정보!$A$3:$A$122,0)),"(id를 확인하세요)"))</f>
        <v/>
      </c>
      <c r="C121" s="17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18" t="n"/>
    </row>
    <row r="122">
      <c r="A122" s="17" t="n"/>
      <c r="B122" s="25">
        <f>IF(A122="","",IFERROR(INDEX(가게정보!$B$3:$B$122,MATCH(A122,가게정보!$A$3:$A$122,0)),"(id를 확인하세요)"))</f>
        <v/>
      </c>
      <c r="C122" s="17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18" t="n"/>
    </row>
    <row r="123">
      <c r="A123" s="17" t="n"/>
      <c r="B123" s="25">
        <f>IF(A123="","",IFERROR(INDEX(가게정보!$B$3:$B$122,MATCH(A123,가게정보!$A$3:$A$122,0)),"(id를 확인하세요)"))</f>
        <v/>
      </c>
      <c r="C123" s="17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18" t="n"/>
    </row>
    <row r="124">
      <c r="A124" s="17" t="n"/>
      <c r="B124" s="25">
        <f>IF(A124="","",IFERROR(INDEX(가게정보!$B$3:$B$122,MATCH(A124,가게정보!$A$3:$A$122,0)),"(id를 확인하세요)"))</f>
        <v/>
      </c>
      <c r="C124" s="17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18" t="n"/>
    </row>
    <row r="125">
      <c r="A125" s="17" t="n"/>
      <c r="B125" s="25">
        <f>IF(A125="","",IFERROR(INDEX(가게정보!$B$3:$B$122,MATCH(A125,가게정보!$A$3:$A$122,0)),"(id를 확인하세요)"))</f>
        <v/>
      </c>
      <c r="C125" s="17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18" t="n"/>
    </row>
    <row r="126">
      <c r="A126" s="17" t="n"/>
      <c r="B126" s="25">
        <f>IF(A126="","",IFERROR(INDEX(가게정보!$B$3:$B$122,MATCH(A126,가게정보!$A$3:$A$122,0)),"(id를 확인하세요)"))</f>
        <v/>
      </c>
      <c r="C126" s="17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18" t="n"/>
    </row>
    <row r="127">
      <c r="A127" s="17" t="n"/>
      <c r="B127" s="25">
        <f>IF(A127="","",IFERROR(INDEX(가게정보!$B$3:$B$122,MATCH(A127,가게정보!$A$3:$A$122,0)),"(id를 확인하세요)"))</f>
        <v/>
      </c>
      <c r="C127" s="17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18" t="n"/>
    </row>
    <row r="128">
      <c r="A128" s="17" t="n"/>
      <c r="B128" s="25">
        <f>IF(A128="","",IFERROR(INDEX(가게정보!$B$3:$B$122,MATCH(A128,가게정보!$A$3:$A$122,0)),"(id를 확인하세요)"))</f>
        <v/>
      </c>
      <c r="C128" s="17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18" t="n"/>
    </row>
    <row r="129">
      <c r="A129" s="17" t="n"/>
      <c r="B129" s="25">
        <f>IF(A129="","",IFERROR(INDEX(가게정보!$B$3:$B$122,MATCH(A129,가게정보!$A$3:$A$122,0)),"(id를 확인하세요)"))</f>
        <v/>
      </c>
      <c r="C129" s="17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18" t="n"/>
    </row>
    <row r="130">
      <c r="A130" s="17" t="n"/>
      <c r="B130" s="25">
        <f>IF(A130="","",IFERROR(INDEX(가게정보!$B$3:$B$122,MATCH(A130,가게정보!$A$3:$A$122,0)),"(id를 확인하세요)"))</f>
        <v/>
      </c>
      <c r="C130" s="17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18" t="n"/>
    </row>
    <row r="131">
      <c r="A131" s="17" t="n"/>
      <c r="B131" s="25">
        <f>IF(A131="","",IFERROR(INDEX(가게정보!$B$3:$B$122,MATCH(A131,가게정보!$A$3:$A$122,0)),"(id를 확인하세요)"))</f>
        <v/>
      </c>
      <c r="C131" s="17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18" t="n"/>
    </row>
    <row r="132">
      <c r="A132" s="17" t="n"/>
      <c r="B132" s="25">
        <f>IF(A132="","",IFERROR(INDEX(가게정보!$B$3:$B$122,MATCH(A132,가게정보!$A$3:$A$122,0)),"(id를 확인하세요)"))</f>
        <v/>
      </c>
      <c r="C132" s="17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18" t="n"/>
    </row>
    <row r="133">
      <c r="A133" s="17" t="n"/>
      <c r="B133" s="25">
        <f>IF(A133="","",IFERROR(INDEX(가게정보!$B$3:$B$122,MATCH(A133,가게정보!$A$3:$A$122,0)),"(id를 확인하세요)"))</f>
        <v/>
      </c>
      <c r="C133" s="17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18" t="n"/>
    </row>
    <row r="134">
      <c r="A134" s="17" t="n"/>
      <c r="B134" s="25">
        <f>IF(A134="","",IFERROR(INDEX(가게정보!$B$3:$B$122,MATCH(A134,가게정보!$A$3:$A$122,0)),"(id를 확인하세요)"))</f>
        <v/>
      </c>
      <c r="C134" s="17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18" t="n"/>
    </row>
    <row r="135">
      <c r="A135" s="17" t="n"/>
      <c r="B135" s="25">
        <f>IF(A135="","",IFERROR(INDEX(가게정보!$B$3:$B$122,MATCH(A135,가게정보!$A$3:$A$122,0)),"(id를 확인하세요)"))</f>
        <v/>
      </c>
      <c r="C135" s="17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18" t="n"/>
    </row>
    <row r="136">
      <c r="A136" s="17" t="n"/>
      <c r="B136" s="25">
        <f>IF(A136="","",IFERROR(INDEX(가게정보!$B$3:$B$122,MATCH(A136,가게정보!$A$3:$A$122,0)),"(id를 확인하세요)"))</f>
        <v/>
      </c>
      <c r="C136" s="17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18" t="n"/>
    </row>
    <row r="137">
      <c r="A137" s="17" t="n"/>
      <c r="B137" s="25">
        <f>IF(A137="","",IFERROR(INDEX(가게정보!$B$3:$B$122,MATCH(A137,가게정보!$A$3:$A$122,0)),"(id를 확인하세요)"))</f>
        <v/>
      </c>
      <c r="C137" s="17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18" t="n"/>
    </row>
    <row r="138">
      <c r="A138" s="17" t="n"/>
      <c r="B138" s="25">
        <f>IF(A138="","",IFERROR(INDEX(가게정보!$B$3:$B$122,MATCH(A138,가게정보!$A$3:$A$122,0)),"(id를 확인하세요)"))</f>
        <v/>
      </c>
      <c r="C138" s="17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18" t="n"/>
    </row>
    <row r="139">
      <c r="A139" s="17" t="n"/>
      <c r="B139" s="25">
        <f>IF(A139="","",IFERROR(INDEX(가게정보!$B$3:$B$122,MATCH(A139,가게정보!$A$3:$A$122,0)),"(id를 확인하세요)"))</f>
        <v/>
      </c>
      <c r="C139" s="17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18" t="n"/>
    </row>
    <row r="140">
      <c r="A140" s="17" t="n"/>
      <c r="B140" s="25">
        <f>IF(A140="","",IFERROR(INDEX(가게정보!$B$3:$B$122,MATCH(A140,가게정보!$A$3:$A$122,0)),"(id를 확인하세요)"))</f>
        <v/>
      </c>
      <c r="C140" s="17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18" t="n"/>
    </row>
    <row r="141">
      <c r="A141" s="17" t="n"/>
      <c r="B141" s="25">
        <f>IF(A141="","",IFERROR(INDEX(가게정보!$B$3:$B$122,MATCH(A141,가게정보!$A$3:$A$122,0)),"(id를 확인하세요)"))</f>
        <v/>
      </c>
      <c r="C141" s="17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18" t="n"/>
    </row>
    <row r="142">
      <c r="A142" s="17" t="n"/>
      <c r="B142" s="25">
        <f>IF(A142="","",IFERROR(INDEX(가게정보!$B$3:$B$122,MATCH(A142,가게정보!$A$3:$A$122,0)),"(id를 확인하세요)"))</f>
        <v/>
      </c>
      <c r="C142" s="17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18" t="n"/>
    </row>
    <row r="143">
      <c r="A143" s="17" t="n"/>
      <c r="B143" s="25">
        <f>IF(A143="","",IFERROR(INDEX(가게정보!$B$3:$B$122,MATCH(A143,가게정보!$A$3:$A$122,0)),"(id를 확인하세요)"))</f>
        <v/>
      </c>
      <c r="C143" s="17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18" t="n"/>
    </row>
    <row r="144">
      <c r="A144" s="17" t="n"/>
      <c r="B144" s="25">
        <f>IF(A144="","",IFERROR(INDEX(가게정보!$B$3:$B$122,MATCH(A144,가게정보!$A$3:$A$122,0)),"(id를 확인하세요)"))</f>
        <v/>
      </c>
      <c r="C144" s="17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18" t="n"/>
    </row>
    <row r="145">
      <c r="A145" s="17" t="n"/>
      <c r="B145" s="25">
        <f>IF(A145="","",IFERROR(INDEX(가게정보!$B$3:$B$122,MATCH(A145,가게정보!$A$3:$A$122,0)),"(id를 확인하세요)"))</f>
        <v/>
      </c>
      <c r="C145" s="17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18" t="n"/>
    </row>
    <row r="146">
      <c r="A146" s="17" t="n"/>
      <c r="B146" s="25">
        <f>IF(A146="","",IFERROR(INDEX(가게정보!$B$3:$B$122,MATCH(A146,가게정보!$A$3:$A$122,0)),"(id를 확인하세요)"))</f>
        <v/>
      </c>
      <c r="C146" s="17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18" t="n"/>
    </row>
    <row r="147">
      <c r="A147" s="17" t="n"/>
      <c r="B147" s="25">
        <f>IF(A147="","",IFERROR(INDEX(가게정보!$B$3:$B$122,MATCH(A147,가게정보!$A$3:$A$122,0)),"(id를 확인하세요)"))</f>
        <v/>
      </c>
      <c r="C147" s="17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18" t="n"/>
    </row>
    <row r="148">
      <c r="A148" s="17" t="n"/>
      <c r="B148" s="25">
        <f>IF(A148="","",IFERROR(INDEX(가게정보!$B$3:$B$122,MATCH(A148,가게정보!$A$3:$A$122,0)),"(id를 확인하세요)"))</f>
        <v/>
      </c>
      <c r="C148" s="17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18" t="n"/>
    </row>
    <row r="149">
      <c r="A149" s="17" t="n"/>
      <c r="B149" s="25">
        <f>IF(A149="","",IFERROR(INDEX(가게정보!$B$3:$B$122,MATCH(A149,가게정보!$A$3:$A$122,0)),"(id를 확인하세요)"))</f>
        <v/>
      </c>
      <c r="C149" s="17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18" t="n"/>
    </row>
    <row r="150">
      <c r="A150" s="17" t="n"/>
      <c r="B150" s="25">
        <f>IF(A150="","",IFERROR(INDEX(가게정보!$B$3:$B$122,MATCH(A150,가게정보!$A$3:$A$122,0)),"(id를 확인하세요)"))</f>
        <v/>
      </c>
      <c r="C150" s="17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18" t="n"/>
    </row>
    <row r="151">
      <c r="A151" s="17" t="n"/>
      <c r="B151" s="25">
        <f>IF(A151="","",IFERROR(INDEX(가게정보!$B$3:$B$122,MATCH(A151,가게정보!$A$3:$A$122,0)),"(id를 확인하세요)"))</f>
        <v/>
      </c>
      <c r="C151" s="17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18" t="n"/>
    </row>
    <row r="152">
      <c r="A152" s="17" t="n"/>
      <c r="B152" s="25">
        <f>IF(A152="","",IFERROR(INDEX(가게정보!$B$3:$B$122,MATCH(A152,가게정보!$A$3:$A$122,0)),"(id를 확인하세요)"))</f>
        <v/>
      </c>
      <c r="C152" s="17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18" t="n"/>
    </row>
    <row r="153">
      <c r="A153" s="17" t="n"/>
      <c r="B153" s="25">
        <f>IF(A153="","",IFERROR(INDEX(가게정보!$B$3:$B$122,MATCH(A153,가게정보!$A$3:$A$122,0)),"(id를 확인하세요)"))</f>
        <v/>
      </c>
      <c r="C153" s="17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18" t="n"/>
    </row>
    <row r="154">
      <c r="A154" s="17" t="n"/>
      <c r="B154" s="25">
        <f>IF(A154="","",IFERROR(INDEX(가게정보!$B$3:$B$122,MATCH(A154,가게정보!$A$3:$A$122,0)),"(id를 확인하세요)"))</f>
        <v/>
      </c>
      <c r="C154" s="17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18" t="n"/>
    </row>
    <row r="155">
      <c r="A155" s="17" t="n"/>
      <c r="B155" s="25">
        <f>IF(A155="","",IFERROR(INDEX(가게정보!$B$3:$B$122,MATCH(A155,가게정보!$A$3:$A$122,0)),"(id를 확인하세요)"))</f>
        <v/>
      </c>
      <c r="C155" s="17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18" t="n"/>
    </row>
    <row r="156">
      <c r="A156" s="17" t="n"/>
      <c r="B156" s="25">
        <f>IF(A156="","",IFERROR(INDEX(가게정보!$B$3:$B$122,MATCH(A156,가게정보!$A$3:$A$122,0)),"(id를 확인하세요)"))</f>
        <v/>
      </c>
      <c r="C156" s="17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18" t="n"/>
    </row>
    <row r="157">
      <c r="A157" s="17" t="n"/>
      <c r="B157" s="25">
        <f>IF(A157="","",IFERROR(INDEX(가게정보!$B$3:$B$122,MATCH(A157,가게정보!$A$3:$A$122,0)),"(id를 확인하세요)"))</f>
        <v/>
      </c>
      <c r="C157" s="17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18" t="n"/>
    </row>
    <row r="158">
      <c r="A158" s="17" t="n"/>
      <c r="B158" s="25">
        <f>IF(A158="","",IFERROR(INDEX(가게정보!$B$3:$B$122,MATCH(A158,가게정보!$A$3:$A$122,0)),"(id를 확인하세요)"))</f>
        <v/>
      </c>
      <c r="C158" s="17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18" t="n"/>
    </row>
    <row r="159">
      <c r="A159" s="17" t="n"/>
      <c r="B159" s="25">
        <f>IF(A159="","",IFERROR(INDEX(가게정보!$B$3:$B$122,MATCH(A159,가게정보!$A$3:$A$122,0)),"(id를 확인하세요)"))</f>
        <v/>
      </c>
      <c r="C159" s="17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18" t="n"/>
    </row>
    <row r="160">
      <c r="A160" s="17" t="n"/>
      <c r="B160" s="25">
        <f>IF(A160="","",IFERROR(INDEX(가게정보!$B$3:$B$122,MATCH(A160,가게정보!$A$3:$A$122,0)),"(id를 확인하세요)"))</f>
        <v/>
      </c>
      <c r="C160" s="17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18" t="n"/>
    </row>
    <row r="161">
      <c r="A161" s="17" t="n"/>
      <c r="B161" s="25">
        <f>IF(A161="","",IFERROR(INDEX(가게정보!$B$3:$B$122,MATCH(A161,가게정보!$A$3:$A$122,0)),"(id를 확인하세요)"))</f>
        <v/>
      </c>
      <c r="C161" s="17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18" t="n"/>
    </row>
    <row r="162">
      <c r="A162" s="17" t="n"/>
      <c r="B162" s="25">
        <f>IF(A162="","",IFERROR(INDEX(가게정보!$B$3:$B$122,MATCH(A162,가게정보!$A$3:$A$122,0)),"(id를 확인하세요)"))</f>
        <v/>
      </c>
      <c r="C162" s="17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18" t="n"/>
    </row>
    <row r="163">
      <c r="A163" s="17" t="n"/>
      <c r="B163" s="25">
        <f>IF(A163="","",IFERROR(INDEX(가게정보!$B$3:$B$122,MATCH(A163,가게정보!$A$3:$A$122,0)),"(id를 확인하세요)"))</f>
        <v/>
      </c>
      <c r="C163" s="17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18" t="n"/>
    </row>
    <row r="164">
      <c r="A164" s="17" t="n"/>
      <c r="B164" s="25">
        <f>IF(A164="","",IFERROR(INDEX(가게정보!$B$3:$B$122,MATCH(A164,가게정보!$A$3:$A$122,0)),"(id를 확인하세요)"))</f>
        <v/>
      </c>
      <c r="C164" s="17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18" t="n"/>
    </row>
    <row r="165">
      <c r="A165" s="17" t="n"/>
      <c r="B165" s="25">
        <f>IF(A165="","",IFERROR(INDEX(가게정보!$B$3:$B$122,MATCH(A165,가게정보!$A$3:$A$122,0)),"(id를 확인하세요)"))</f>
        <v/>
      </c>
      <c r="C165" s="17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18" t="n"/>
    </row>
    <row r="166">
      <c r="A166" s="17" t="n"/>
      <c r="B166" s="25">
        <f>IF(A166="","",IFERROR(INDEX(가게정보!$B$3:$B$122,MATCH(A166,가게정보!$A$3:$A$122,0)),"(id를 확인하세요)"))</f>
        <v/>
      </c>
      <c r="C166" s="17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18" t="n"/>
    </row>
    <row r="167">
      <c r="A167" s="17" t="n"/>
      <c r="B167" s="25">
        <f>IF(A167="","",IFERROR(INDEX(가게정보!$B$3:$B$122,MATCH(A167,가게정보!$A$3:$A$122,0)),"(id를 확인하세요)"))</f>
        <v/>
      </c>
      <c r="C167" s="17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18" t="n"/>
    </row>
    <row r="168">
      <c r="A168" s="17" t="n"/>
      <c r="B168" s="25">
        <f>IF(A168="","",IFERROR(INDEX(가게정보!$B$3:$B$122,MATCH(A168,가게정보!$A$3:$A$122,0)),"(id를 확인하세요)"))</f>
        <v/>
      </c>
      <c r="C168" s="17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18" t="n"/>
    </row>
    <row r="169">
      <c r="A169" s="17" t="n"/>
      <c r="B169" s="25">
        <f>IF(A169="","",IFERROR(INDEX(가게정보!$B$3:$B$122,MATCH(A169,가게정보!$A$3:$A$122,0)),"(id를 확인하세요)"))</f>
        <v/>
      </c>
      <c r="C169" s="17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18" t="n"/>
    </row>
    <row r="170">
      <c r="A170" s="17" t="n"/>
      <c r="B170" s="25">
        <f>IF(A170="","",IFERROR(INDEX(가게정보!$B$3:$B$122,MATCH(A170,가게정보!$A$3:$A$122,0)),"(id를 확인하세요)"))</f>
        <v/>
      </c>
      <c r="C170" s="17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18" t="n"/>
    </row>
    <row r="171">
      <c r="A171" s="17" t="n"/>
      <c r="B171" s="25">
        <f>IF(A171="","",IFERROR(INDEX(가게정보!$B$3:$B$122,MATCH(A171,가게정보!$A$3:$A$122,0)),"(id를 확인하세요)"))</f>
        <v/>
      </c>
      <c r="C171" s="17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18" t="n"/>
    </row>
    <row r="172">
      <c r="A172" s="17" t="n"/>
      <c r="B172" s="25">
        <f>IF(A172="","",IFERROR(INDEX(가게정보!$B$3:$B$122,MATCH(A172,가게정보!$A$3:$A$122,0)),"(id를 확인하세요)"))</f>
        <v/>
      </c>
      <c r="C172" s="17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18" t="n"/>
    </row>
    <row r="173">
      <c r="A173" s="17" t="n"/>
      <c r="B173" s="25">
        <f>IF(A173="","",IFERROR(INDEX(가게정보!$B$3:$B$122,MATCH(A173,가게정보!$A$3:$A$122,0)),"(id를 확인하세요)"))</f>
        <v/>
      </c>
      <c r="C173" s="17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18" t="n"/>
    </row>
    <row r="174">
      <c r="A174" s="17" t="n"/>
      <c r="B174" s="25">
        <f>IF(A174="","",IFERROR(INDEX(가게정보!$B$3:$B$122,MATCH(A174,가게정보!$A$3:$A$122,0)),"(id를 확인하세요)"))</f>
        <v/>
      </c>
      <c r="C174" s="17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18" t="n"/>
    </row>
    <row r="175">
      <c r="A175" s="17" t="n"/>
      <c r="B175" s="25">
        <f>IF(A175="","",IFERROR(INDEX(가게정보!$B$3:$B$122,MATCH(A175,가게정보!$A$3:$A$122,0)),"(id를 확인하세요)"))</f>
        <v/>
      </c>
      <c r="C175" s="17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18" t="n"/>
    </row>
    <row r="176">
      <c r="A176" s="17" t="n"/>
      <c r="B176" s="25">
        <f>IF(A176="","",IFERROR(INDEX(가게정보!$B$3:$B$122,MATCH(A176,가게정보!$A$3:$A$122,0)),"(id를 확인하세요)"))</f>
        <v/>
      </c>
      <c r="C176" s="17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18" t="n"/>
    </row>
    <row r="177">
      <c r="A177" s="17" t="n"/>
      <c r="B177" s="25">
        <f>IF(A177="","",IFERROR(INDEX(가게정보!$B$3:$B$122,MATCH(A177,가게정보!$A$3:$A$122,0)),"(id를 확인하세요)"))</f>
        <v/>
      </c>
      <c r="C177" s="17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18" t="n"/>
    </row>
    <row r="178">
      <c r="A178" s="17" t="n"/>
      <c r="B178" s="25">
        <f>IF(A178="","",IFERROR(INDEX(가게정보!$B$3:$B$122,MATCH(A178,가게정보!$A$3:$A$122,0)),"(id를 확인하세요)"))</f>
        <v/>
      </c>
      <c r="C178" s="17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18" t="n"/>
    </row>
    <row r="179">
      <c r="A179" s="17" t="n"/>
      <c r="B179" s="25">
        <f>IF(A179="","",IFERROR(INDEX(가게정보!$B$3:$B$122,MATCH(A179,가게정보!$A$3:$A$122,0)),"(id를 확인하세요)"))</f>
        <v/>
      </c>
      <c r="C179" s="17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18" t="n"/>
    </row>
    <row r="180">
      <c r="A180" s="17" t="n"/>
      <c r="B180" s="25">
        <f>IF(A180="","",IFERROR(INDEX(가게정보!$B$3:$B$122,MATCH(A180,가게정보!$A$3:$A$122,0)),"(id를 확인하세요)"))</f>
        <v/>
      </c>
      <c r="C180" s="17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18" t="n"/>
    </row>
    <row r="181">
      <c r="A181" s="17" t="n"/>
      <c r="B181" s="25">
        <f>IF(A181="","",IFERROR(INDEX(가게정보!$B$3:$B$122,MATCH(A181,가게정보!$A$3:$A$122,0)),"(id를 확인하세요)"))</f>
        <v/>
      </c>
      <c r="C181" s="17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18" t="n"/>
    </row>
    <row r="182">
      <c r="A182" s="17" t="n"/>
      <c r="B182" s="25">
        <f>IF(A182="","",IFERROR(INDEX(가게정보!$B$3:$B$122,MATCH(A182,가게정보!$A$3:$A$122,0)),"(id를 확인하세요)"))</f>
        <v/>
      </c>
      <c r="C182" s="17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18" t="n"/>
    </row>
    <row r="183">
      <c r="A183" s="17" t="n"/>
      <c r="B183" s="25">
        <f>IF(A183="","",IFERROR(INDEX(가게정보!$B$3:$B$122,MATCH(A183,가게정보!$A$3:$A$122,0)),"(id를 확인하세요)"))</f>
        <v/>
      </c>
      <c r="C183" s="17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18" t="n"/>
    </row>
    <row r="184">
      <c r="A184" s="17" t="n"/>
      <c r="B184" s="25">
        <f>IF(A184="","",IFERROR(INDEX(가게정보!$B$3:$B$122,MATCH(A184,가게정보!$A$3:$A$122,0)),"(id를 확인하세요)"))</f>
        <v/>
      </c>
      <c r="C184" s="17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18" t="n"/>
    </row>
    <row r="185">
      <c r="A185" s="17" t="n"/>
      <c r="B185" s="25">
        <f>IF(A185="","",IFERROR(INDEX(가게정보!$B$3:$B$122,MATCH(A185,가게정보!$A$3:$A$122,0)),"(id를 확인하세요)"))</f>
        <v/>
      </c>
      <c r="C185" s="17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18" t="n"/>
    </row>
    <row r="186">
      <c r="A186" s="17" t="n"/>
      <c r="B186" s="25">
        <f>IF(A186="","",IFERROR(INDEX(가게정보!$B$3:$B$122,MATCH(A186,가게정보!$A$3:$A$122,0)),"(id를 확인하세요)"))</f>
        <v/>
      </c>
      <c r="C186" s="17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18" t="n"/>
    </row>
    <row r="187">
      <c r="A187" s="17" t="n"/>
      <c r="B187" s="25">
        <f>IF(A187="","",IFERROR(INDEX(가게정보!$B$3:$B$122,MATCH(A187,가게정보!$A$3:$A$122,0)),"(id를 확인하세요)"))</f>
        <v/>
      </c>
      <c r="C187" s="17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18" t="n"/>
    </row>
    <row r="188">
      <c r="A188" s="17" t="n"/>
      <c r="B188" s="25">
        <f>IF(A188="","",IFERROR(INDEX(가게정보!$B$3:$B$122,MATCH(A188,가게정보!$A$3:$A$122,0)),"(id를 확인하세요)"))</f>
        <v/>
      </c>
      <c r="C188" s="17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18" t="n"/>
    </row>
    <row r="189">
      <c r="A189" s="17" t="n"/>
      <c r="B189" s="25">
        <f>IF(A189="","",IFERROR(INDEX(가게정보!$B$3:$B$122,MATCH(A189,가게정보!$A$3:$A$122,0)),"(id를 확인하세요)"))</f>
        <v/>
      </c>
      <c r="C189" s="17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18" t="n"/>
    </row>
    <row r="190">
      <c r="A190" s="17" t="n"/>
      <c r="B190" s="25">
        <f>IF(A190="","",IFERROR(INDEX(가게정보!$B$3:$B$122,MATCH(A190,가게정보!$A$3:$A$122,0)),"(id를 확인하세요)"))</f>
        <v/>
      </c>
      <c r="C190" s="17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18" t="n"/>
    </row>
    <row r="191">
      <c r="A191" s="17" t="n"/>
      <c r="B191" s="25">
        <f>IF(A191="","",IFERROR(INDEX(가게정보!$B$3:$B$122,MATCH(A191,가게정보!$A$3:$A$122,0)),"(id를 확인하세요)"))</f>
        <v/>
      </c>
      <c r="C191" s="17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18" t="n"/>
    </row>
    <row r="192">
      <c r="A192" s="17" t="n"/>
      <c r="B192" s="25">
        <f>IF(A192="","",IFERROR(INDEX(가게정보!$B$3:$B$122,MATCH(A192,가게정보!$A$3:$A$122,0)),"(id를 확인하세요)"))</f>
        <v/>
      </c>
      <c r="C192" s="17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18" t="n"/>
    </row>
    <row r="193">
      <c r="A193" s="17" t="n"/>
      <c r="B193" s="25">
        <f>IF(A193="","",IFERROR(INDEX(가게정보!$B$3:$B$122,MATCH(A193,가게정보!$A$3:$A$122,0)),"(id를 확인하세요)"))</f>
        <v/>
      </c>
      <c r="C193" s="17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18" t="n"/>
    </row>
    <row r="194">
      <c r="A194" s="17" t="n"/>
      <c r="B194" s="25">
        <f>IF(A194="","",IFERROR(INDEX(가게정보!$B$3:$B$122,MATCH(A194,가게정보!$A$3:$A$122,0)),"(id를 확인하세요)"))</f>
        <v/>
      </c>
      <c r="C194" s="17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18" t="n"/>
    </row>
    <row r="195">
      <c r="A195" s="17" t="n"/>
      <c r="B195" s="25">
        <f>IF(A195="","",IFERROR(INDEX(가게정보!$B$3:$B$122,MATCH(A195,가게정보!$A$3:$A$122,0)),"(id를 확인하세요)"))</f>
        <v/>
      </c>
      <c r="C195" s="17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18" t="n"/>
    </row>
    <row r="196">
      <c r="A196" s="17" t="n"/>
      <c r="B196" s="25">
        <f>IF(A196="","",IFERROR(INDEX(가게정보!$B$3:$B$122,MATCH(A196,가게정보!$A$3:$A$122,0)),"(id를 확인하세요)"))</f>
        <v/>
      </c>
      <c r="C196" s="17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18" t="n"/>
    </row>
    <row r="197">
      <c r="A197" s="17" t="n"/>
      <c r="B197" s="25">
        <f>IF(A197="","",IFERROR(INDEX(가게정보!$B$3:$B$122,MATCH(A197,가게정보!$A$3:$A$122,0)),"(id를 확인하세요)"))</f>
        <v/>
      </c>
      <c r="C197" s="17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18" t="n"/>
    </row>
    <row r="198">
      <c r="A198" s="17" t="n"/>
      <c r="B198" s="25">
        <f>IF(A198="","",IFERROR(INDEX(가게정보!$B$3:$B$122,MATCH(A198,가게정보!$A$3:$A$122,0)),"(id를 확인하세요)"))</f>
        <v/>
      </c>
      <c r="C198" s="17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18" t="n"/>
    </row>
    <row r="199">
      <c r="A199" s="17" t="n"/>
      <c r="B199" s="25">
        <f>IF(A199="","",IFERROR(INDEX(가게정보!$B$3:$B$122,MATCH(A199,가게정보!$A$3:$A$122,0)),"(id를 확인하세요)"))</f>
        <v/>
      </c>
      <c r="C199" s="17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18" t="n"/>
    </row>
    <row r="200">
      <c r="A200" s="17" t="n"/>
      <c r="B200" s="25">
        <f>IF(A200="","",IFERROR(INDEX(가게정보!$B$3:$B$122,MATCH(A200,가게정보!$A$3:$A$122,0)),"(id를 확인하세요)"))</f>
        <v/>
      </c>
      <c r="C200" s="17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18" t="n"/>
    </row>
    <row r="201">
      <c r="A201" s="17" t="n"/>
      <c r="B201" s="25">
        <f>IF(A201="","",IFERROR(INDEX(가게정보!$B$3:$B$122,MATCH(A201,가게정보!$A$3:$A$122,0)),"(id를 확인하세요)"))</f>
        <v/>
      </c>
      <c r="C201" s="17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18" t="n"/>
    </row>
    <row r="202">
      <c r="A202" s="17" t="n"/>
      <c r="B202" s="25">
        <f>IF(A202="","",IFERROR(INDEX(가게정보!$B$3:$B$122,MATCH(A202,가게정보!$A$3:$A$122,0)),"(id를 확인하세요)"))</f>
        <v/>
      </c>
      <c r="C202" s="17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18" t="n"/>
    </row>
    <row r="203">
      <c r="A203" s="17" t="n"/>
      <c r="B203" s="25">
        <f>IF(A203="","",IFERROR(INDEX(가게정보!$B$3:$B$122,MATCH(A203,가게정보!$A$3:$A$122,0)),"(id를 확인하세요)"))</f>
        <v/>
      </c>
      <c r="C203" s="17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18" t="n"/>
    </row>
    <row r="204">
      <c r="A204" s="17" t="n"/>
      <c r="B204" s="25">
        <f>IF(A204="","",IFERROR(INDEX(가게정보!$B$3:$B$122,MATCH(A204,가게정보!$A$3:$A$122,0)),"(id를 확인하세요)"))</f>
        <v/>
      </c>
      <c r="C204" s="17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18" t="n"/>
    </row>
    <row r="205">
      <c r="A205" s="17" t="n"/>
      <c r="B205" s="25">
        <f>IF(A205="","",IFERROR(INDEX(가게정보!$B$3:$B$122,MATCH(A205,가게정보!$A$3:$A$122,0)),"(id를 확인하세요)"))</f>
        <v/>
      </c>
      <c r="C205" s="17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18" t="n"/>
    </row>
    <row r="206">
      <c r="A206" s="17" t="n"/>
      <c r="B206" s="25">
        <f>IF(A206="","",IFERROR(INDEX(가게정보!$B$3:$B$122,MATCH(A206,가게정보!$A$3:$A$122,0)),"(id를 확인하세요)"))</f>
        <v/>
      </c>
      <c r="C206" s="17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18" t="n"/>
    </row>
    <row r="207">
      <c r="A207" s="17" t="n"/>
      <c r="B207" s="25">
        <f>IF(A207="","",IFERROR(INDEX(가게정보!$B$3:$B$122,MATCH(A207,가게정보!$A$3:$A$122,0)),"(id를 확인하세요)"))</f>
        <v/>
      </c>
      <c r="C207" s="17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18" t="n"/>
    </row>
    <row r="208">
      <c r="A208" s="17" t="n"/>
      <c r="B208" s="25">
        <f>IF(A208="","",IFERROR(INDEX(가게정보!$B$3:$B$122,MATCH(A208,가게정보!$A$3:$A$122,0)),"(id를 확인하세요)"))</f>
        <v/>
      </c>
      <c r="C208" s="17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18" t="n"/>
    </row>
    <row r="209">
      <c r="A209" s="17" t="n"/>
      <c r="B209" s="25">
        <f>IF(A209="","",IFERROR(INDEX(가게정보!$B$3:$B$122,MATCH(A209,가게정보!$A$3:$A$122,0)),"(id를 확인하세요)"))</f>
        <v/>
      </c>
      <c r="C209" s="17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18" t="n"/>
    </row>
    <row r="210">
      <c r="A210" s="17" t="n"/>
      <c r="B210" s="25">
        <f>IF(A210="","",IFERROR(INDEX(가게정보!$B$3:$B$122,MATCH(A210,가게정보!$A$3:$A$122,0)),"(id를 확인하세요)"))</f>
        <v/>
      </c>
      <c r="C210" s="17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18" t="n"/>
    </row>
    <row r="211">
      <c r="A211" s="17" t="n"/>
      <c r="B211" s="25">
        <f>IF(A211="","",IFERROR(INDEX(가게정보!$B$3:$B$122,MATCH(A211,가게정보!$A$3:$A$122,0)),"(id를 확인하세요)"))</f>
        <v/>
      </c>
      <c r="C211" s="17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18" t="n"/>
    </row>
    <row r="212">
      <c r="A212" s="17" t="n"/>
      <c r="B212" s="25">
        <f>IF(A212="","",IFERROR(INDEX(가게정보!$B$3:$B$122,MATCH(A212,가게정보!$A$3:$A$122,0)),"(id를 확인하세요)"))</f>
        <v/>
      </c>
      <c r="C212" s="17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18" t="n"/>
    </row>
    <row r="213">
      <c r="A213" s="17" t="n"/>
      <c r="B213" s="25">
        <f>IF(A213="","",IFERROR(INDEX(가게정보!$B$3:$B$122,MATCH(A213,가게정보!$A$3:$A$122,0)),"(id를 확인하세요)"))</f>
        <v/>
      </c>
      <c r="C213" s="17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18" t="n"/>
    </row>
    <row r="214">
      <c r="A214" s="17" t="n"/>
      <c r="B214" s="25">
        <f>IF(A214="","",IFERROR(INDEX(가게정보!$B$3:$B$122,MATCH(A214,가게정보!$A$3:$A$122,0)),"(id를 확인하세요)"))</f>
        <v/>
      </c>
      <c r="C214" s="17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18" t="n"/>
    </row>
    <row r="215">
      <c r="A215" s="17" t="n"/>
      <c r="B215" s="25">
        <f>IF(A215="","",IFERROR(INDEX(가게정보!$B$3:$B$122,MATCH(A215,가게정보!$A$3:$A$122,0)),"(id를 확인하세요)"))</f>
        <v/>
      </c>
      <c r="C215" s="17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18" t="n"/>
    </row>
    <row r="216">
      <c r="A216" s="17" t="n"/>
      <c r="B216" s="25">
        <f>IF(A216="","",IFERROR(INDEX(가게정보!$B$3:$B$122,MATCH(A216,가게정보!$A$3:$A$122,0)),"(id를 확인하세요)"))</f>
        <v/>
      </c>
      <c r="C216" s="17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18" t="n"/>
    </row>
    <row r="217">
      <c r="A217" s="17" t="n"/>
      <c r="B217" s="25">
        <f>IF(A217="","",IFERROR(INDEX(가게정보!$B$3:$B$122,MATCH(A217,가게정보!$A$3:$A$122,0)),"(id를 확인하세요)"))</f>
        <v/>
      </c>
      <c r="C217" s="17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18" t="n"/>
    </row>
    <row r="218">
      <c r="A218" s="17" t="n"/>
      <c r="B218" s="25">
        <f>IF(A218="","",IFERROR(INDEX(가게정보!$B$3:$B$122,MATCH(A218,가게정보!$A$3:$A$122,0)),"(id를 확인하세요)"))</f>
        <v/>
      </c>
      <c r="C218" s="17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18" t="n"/>
    </row>
    <row r="219">
      <c r="A219" s="17" t="n"/>
      <c r="B219" s="25">
        <f>IF(A219="","",IFERROR(INDEX(가게정보!$B$3:$B$122,MATCH(A219,가게정보!$A$3:$A$122,0)),"(id를 확인하세요)"))</f>
        <v/>
      </c>
      <c r="C219" s="17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18" t="n"/>
    </row>
    <row r="220">
      <c r="A220" s="17" t="n"/>
      <c r="B220" s="25">
        <f>IF(A220="","",IFERROR(INDEX(가게정보!$B$3:$B$122,MATCH(A220,가게정보!$A$3:$A$122,0)),"(id를 확인하세요)"))</f>
        <v/>
      </c>
      <c r="C220" s="17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18" t="n"/>
    </row>
    <row r="221">
      <c r="A221" s="17" t="n"/>
      <c r="B221" s="25">
        <f>IF(A221="","",IFERROR(INDEX(가게정보!$B$3:$B$122,MATCH(A221,가게정보!$A$3:$A$122,0)),"(id를 확인하세요)"))</f>
        <v/>
      </c>
      <c r="C221" s="17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18" t="n"/>
    </row>
    <row r="222">
      <c r="A222" s="17" t="n"/>
      <c r="B222" s="25">
        <f>IF(A222="","",IFERROR(INDEX(가게정보!$B$3:$B$122,MATCH(A222,가게정보!$A$3:$A$122,0)),"(id를 확인하세요)"))</f>
        <v/>
      </c>
      <c r="C222" s="17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18" t="n"/>
    </row>
    <row r="223">
      <c r="A223" s="17" t="n"/>
      <c r="B223" s="25">
        <f>IF(A223="","",IFERROR(INDEX(가게정보!$B$3:$B$122,MATCH(A223,가게정보!$A$3:$A$122,0)),"(id를 확인하세요)"))</f>
        <v/>
      </c>
      <c r="C223" s="17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18" t="n"/>
    </row>
    <row r="224">
      <c r="A224" s="17" t="n"/>
      <c r="B224" s="25">
        <f>IF(A224="","",IFERROR(INDEX(가게정보!$B$3:$B$122,MATCH(A224,가게정보!$A$3:$A$122,0)),"(id를 확인하세요)"))</f>
        <v/>
      </c>
      <c r="C224" s="17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18" t="n"/>
    </row>
    <row r="225">
      <c r="A225" s="17" t="n"/>
      <c r="B225" s="25">
        <f>IF(A225="","",IFERROR(INDEX(가게정보!$B$3:$B$122,MATCH(A225,가게정보!$A$3:$A$122,0)),"(id를 확인하세요)"))</f>
        <v/>
      </c>
      <c r="C225" s="17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18" t="n"/>
    </row>
    <row r="226">
      <c r="A226" s="17" t="n"/>
      <c r="B226" s="25">
        <f>IF(A226="","",IFERROR(INDEX(가게정보!$B$3:$B$122,MATCH(A226,가게정보!$A$3:$A$122,0)),"(id를 확인하세요)"))</f>
        <v/>
      </c>
      <c r="C226" s="17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18" t="n"/>
    </row>
    <row r="227">
      <c r="A227" s="17" t="n"/>
      <c r="B227" s="25">
        <f>IF(A227="","",IFERROR(INDEX(가게정보!$B$3:$B$122,MATCH(A227,가게정보!$A$3:$A$122,0)),"(id를 확인하세요)"))</f>
        <v/>
      </c>
      <c r="C227" s="17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18" t="n"/>
    </row>
    <row r="228">
      <c r="A228" s="17" t="n"/>
      <c r="B228" s="25">
        <f>IF(A228="","",IFERROR(INDEX(가게정보!$B$3:$B$122,MATCH(A228,가게정보!$A$3:$A$122,0)),"(id를 확인하세요)"))</f>
        <v/>
      </c>
      <c r="C228" s="17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18" t="n"/>
    </row>
    <row r="229">
      <c r="A229" s="17" t="n"/>
      <c r="B229" s="25">
        <f>IF(A229="","",IFERROR(INDEX(가게정보!$B$3:$B$122,MATCH(A229,가게정보!$A$3:$A$122,0)),"(id를 확인하세요)"))</f>
        <v/>
      </c>
      <c r="C229" s="17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18" t="n"/>
    </row>
    <row r="230">
      <c r="A230" s="17" t="n"/>
      <c r="B230" s="25">
        <f>IF(A230="","",IFERROR(INDEX(가게정보!$B$3:$B$122,MATCH(A230,가게정보!$A$3:$A$122,0)),"(id를 확인하세요)"))</f>
        <v/>
      </c>
      <c r="C230" s="17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18" t="n"/>
    </row>
    <row r="231">
      <c r="A231" s="17" t="n"/>
      <c r="B231" s="25">
        <f>IF(A231="","",IFERROR(INDEX(가게정보!$B$3:$B$122,MATCH(A231,가게정보!$A$3:$A$122,0)),"(id를 확인하세요)"))</f>
        <v/>
      </c>
      <c r="C231" s="17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18" t="n"/>
    </row>
    <row r="232">
      <c r="A232" s="17" t="n"/>
      <c r="B232" s="25">
        <f>IF(A232="","",IFERROR(INDEX(가게정보!$B$3:$B$122,MATCH(A232,가게정보!$A$3:$A$122,0)),"(id를 확인하세요)"))</f>
        <v/>
      </c>
      <c r="C232" s="17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18" t="n"/>
    </row>
    <row r="233">
      <c r="A233" s="17" t="n"/>
      <c r="B233" s="25">
        <f>IF(A233="","",IFERROR(INDEX(가게정보!$B$3:$B$122,MATCH(A233,가게정보!$A$3:$A$122,0)),"(id를 확인하세요)"))</f>
        <v/>
      </c>
      <c r="C233" s="17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18" t="n"/>
    </row>
    <row r="234">
      <c r="A234" s="17" t="n"/>
      <c r="B234" s="25">
        <f>IF(A234="","",IFERROR(INDEX(가게정보!$B$3:$B$122,MATCH(A234,가게정보!$A$3:$A$122,0)),"(id를 확인하세요)"))</f>
        <v/>
      </c>
      <c r="C234" s="17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18" t="n"/>
    </row>
    <row r="235">
      <c r="A235" s="17" t="n"/>
      <c r="B235" s="25">
        <f>IF(A235="","",IFERROR(INDEX(가게정보!$B$3:$B$122,MATCH(A235,가게정보!$A$3:$A$122,0)),"(id를 확인하세요)"))</f>
        <v/>
      </c>
      <c r="C235" s="17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18" t="n"/>
    </row>
    <row r="236">
      <c r="A236" s="17" t="n"/>
      <c r="B236" s="25">
        <f>IF(A236="","",IFERROR(INDEX(가게정보!$B$3:$B$122,MATCH(A236,가게정보!$A$3:$A$122,0)),"(id를 확인하세요)"))</f>
        <v/>
      </c>
      <c r="C236" s="17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18" t="n"/>
    </row>
    <row r="237">
      <c r="A237" s="17" t="n"/>
      <c r="B237" s="25">
        <f>IF(A237="","",IFERROR(INDEX(가게정보!$B$3:$B$122,MATCH(A237,가게정보!$A$3:$A$122,0)),"(id를 확인하세요)"))</f>
        <v/>
      </c>
      <c r="C237" s="17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18" t="n"/>
    </row>
    <row r="238">
      <c r="A238" s="17" t="n"/>
      <c r="B238" s="25">
        <f>IF(A238="","",IFERROR(INDEX(가게정보!$B$3:$B$122,MATCH(A238,가게정보!$A$3:$A$122,0)),"(id를 확인하세요)"))</f>
        <v/>
      </c>
      <c r="C238" s="17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18" t="n"/>
    </row>
    <row r="239">
      <c r="A239" s="17" t="n"/>
      <c r="B239" s="25">
        <f>IF(A239="","",IFERROR(INDEX(가게정보!$B$3:$B$122,MATCH(A239,가게정보!$A$3:$A$122,0)),"(id를 확인하세요)"))</f>
        <v/>
      </c>
      <c r="C239" s="17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18" t="n"/>
    </row>
    <row r="240">
      <c r="A240" s="17" t="n"/>
      <c r="B240" s="25">
        <f>IF(A240="","",IFERROR(INDEX(가게정보!$B$3:$B$122,MATCH(A240,가게정보!$A$3:$A$122,0)),"(id를 확인하세요)"))</f>
        <v/>
      </c>
      <c r="C240" s="17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18" t="n"/>
    </row>
    <row r="241">
      <c r="A241" s="17" t="n"/>
      <c r="B241" s="25">
        <f>IF(A241="","",IFERROR(INDEX(가게정보!$B$3:$B$122,MATCH(A241,가게정보!$A$3:$A$122,0)),"(id를 확인하세요)"))</f>
        <v/>
      </c>
      <c r="C241" s="17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18" t="n"/>
    </row>
    <row r="242">
      <c r="A242" s="17" t="n"/>
      <c r="B242" s="25">
        <f>IF(A242="","",IFERROR(INDEX(가게정보!$B$3:$B$122,MATCH(A242,가게정보!$A$3:$A$122,0)),"(id를 확인하세요)"))</f>
        <v/>
      </c>
      <c r="C242" s="17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18" t="n"/>
    </row>
    <row r="243">
      <c r="A243" s="17" t="n"/>
      <c r="B243" s="25">
        <f>IF(A243="","",IFERROR(INDEX(가게정보!$B$3:$B$122,MATCH(A243,가게정보!$A$3:$A$122,0)),"(id를 확인하세요)"))</f>
        <v/>
      </c>
      <c r="C243" s="17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18" t="n"/>
    </row>
    <row r="244">
      <c r="A244" s="17" t="n"/>
      <c r="B244" s="25">
        <f>IF(A244="","",IFERROR(INDEX(가게정보!$B$3:$B$122,MATCH(A244,가게정보!$A$3:$A$122,0)),"(id를 확인하세요)"))</f>
        <v/>
      </c>
      <c r="C244" s="17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18" t="n"/>
    </row>
    <row r="245">
      <c r="A245" s="17" t="n"/>
      <c r="B245" s="25">
        <f>IF(A245="","",IFERROR(INDEX(가게정보!$B$3:$B$122,MATCH(A245,가게정보!$A$3:$A$122,0)),"(id를 확인하세요)"))</f>
        <v/>
      </c>
      <c r="C245" s="17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18" t="n"/>
    </row>
    <row r="246">
      <c r="A246" s="17" t="n"/>
      <c r="B246" s="25">
        <f>IF(A246="","",IFERROR(INDEX(가게정보!$B$3:$B$122,MATCH(A246,가게정보!$A$3:$A$122,0)),"(id를 확인하세요)"))</f>
        <v/>
      </c>
      <c r="C246" s="17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18" t="n"/>
    </row>
    <row r="247">
      <c r="A247" s="17" t="n"/>
      <c r="B247" s="25">
        <f>IF(A247="","",IFERROR(INDEX(가게정보!$B$3:$B$122,MATCH(A247,가게정보!$A$3:$A$122,0)),"(id를 확인하세요)"))</f>
        <v/>
      </c>
      <c r="C247" s="17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18" t="n"/>
    </row>
    <row r="248">
      <c r="A248" s="17" t="n"/>
      <c r="B248" s="25">
        <f>IF(A248="","",IFERROR(INDEX(가게정보!$B$3:$B$122,MATCH(A248,가게정보!$A$3:$A$122,0)),"(id를 확인하세요)"))</f>
        <v/>
      </c>
      <c r="C248" s="17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18" t="n"/>
    </row>
    <row r="249">
      <c r="A249" s="17" t="n"/>
      <c r="B249" s="25">
        <f>IF(A249="","",IFERROR(INDEX(가게정보!$B$3:$B$122,MATCH(A249,가게정보!$A$3:$A$122,0)),"(id를 확인하세요)"))</f>
        <v/>
      </c>
      <c r="C249" s="17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18" t="n"/>
    </row>
    <row r="250">
      <c r="A250" s="17" t="n"/>
      <c r="B250" s="25">
        <f>IF(A250="","",IFERROR(INDEX(가게정보!$B$3:$B$122,MATCH(A250,가게정보!$A$3:$A$122,0)),"(id를 확인하세요)"))</f>
        <v/>
      </c>
      <c r="C250" s="17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18" t="n"/>
    </row>
    <row r="251">
      <c r="A251" s="17" t="n"/>
      <c r="B251" s="25">
        <f>IF(A251="","",IFERROR(INDEX(가게정보!$B$3:$B$122,MATCH(A251,가게정보!$A$3:$A$122,0)),"(id를 확인하세요)"))</f>
        <v/>
      </c>
      <c r="C251" s="17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18" t="n"/>
    </row>
    <row r="252">
      <c r="A252" s="17" t="n"/>
      <c r="B252" s="25">
        <f>IF(A252="","",IFERROR(INDEX(가게정보!$B$3:$B$122,MATCH(A252,가게정보!$A$3:$A$122,0)),"(id를 확인하세요)"))</f>
        <v/>
      </c>
      <c r="C252" s="17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18" t="n"/>
    </row>
    <row r="253">
      <c r="A253" s="17" t="n"/>
      <c r="B253" s="25">
        <f>IF(A253="","",IFERROR(INDEX(가게정보!$B$3:$B$122,MATCH(A253,가게정보!$A$3:$A$122,0)),"(id를 확인하세요)"))</f>
        <v/>
      </c>
      <c r="C253" s="17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18" t="n"/>
    </row>
    <row r="254">
      <c r="A254" s="17" t="n"/>
      <c r="B254" s="25">
        <f>IF(A254="","",IFERROR(INDEX(가게정보!$B$3:$B$122,MATCH(A254,가게정보!$A$3:$A$122,0)),"(id를 확인하세요)"))</f>
        <v/>
      </c>
      <c r="C254" s="17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18" t="n"/>
    </row>
    <row r="255">
      <c r="A255" s="17" t="n"/>
      <c r="B255" s="25">
        <f>IF(A255="","",IFERROR(INDEX(가게정보!$B$3:$B$122,MATCH(A255,가게정보!$A$3:$A$122,0)),"(id를 확인하세요)"))</f>
        <v/>
      </c>
      <c r="C255" s="17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18" t="n"/>
    </row>
    <row r="256">
      <c r="A256" s="17" t="n"/>
      <c r="B256" s="25">
        <f>IF(A256="","",IFERROR(INDEX(가게정보!$B$3:$B$122,MATCH(A256,가게정보!$A$3:$A$122,0)),"(id를 확인하세요)"))</f>
        <v/>
      </c>
      <c r="C256" s="17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18" t="n"/>
    </row>
    <row r="257">
      <c r="A257" s="17" t="n"/>
      <c r="B257" s="25">
        <f>IF(A257="","",IFERROR(INDEX(가게정보!$B$3:$B$122,MATCH(A257,가게정보!$A$3:$A$122,0)),"(id를 확인하세요)"))</f>
        <v/>
      </c>
      <c r="C257" s="17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18" t="n"/>
    </row>
    <row r="258">
      <c r="A258" s="17" t="n"/>
      <c r="B258" s="25">
        <f>IF(A258="","",IFERROR(INDEX(가게정보!$B$3:$B$122,MATCH(A258,가게정보!$A$3:$A$122,0)),"(id를 확인하세요)"))</f>
        <v/>
      </c>
      <c r="C258" s="17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18" t="n"/>
    </row>
    <row r="259">
      <c r="A259" s="17" t="n"/>
      <c r="B259" s="25">
        <f>IF(A259="","",IFERROR(INDEX(가게정보!$B$3:$B$122,MATCH(A259,가게정보!$A$3:$A$122,0)),"(id를 확인하세요)"))</f>
        <v/>
      </c>
      <c r="C259" s="17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18" t="n"/>
    </row>
    <row r="260">
      <c r="A260" s="17" t="n"/>
      <c r="B260" s="25">
        <f>IF(A260="","",IFERROR(INDEX(가게정보!$B$3:$B$122,MATCH(A260,가게정보!$A$3:$A$122,0)),"(id를 확인하세요)"))</f>
        <v/>
      </c>
      <c r="C260" s="17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18" t="n"/>
    </row>
    <row r="261">
      <c r="A261" s="17" t="n"/>
      <c r="B261" s="25">
        <f>IF(A261="","",IFERROR(INDEX(가게정보!$B$3:$B$122,MATCH(A261,가게정보!$A$3:$A$122,0)),"(id를 확인하세요)"))</f>
        <v/>
      </c>
      <c r="C261" s="17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18" t="n"/>
    </row>
    <row r="262">
      <c r="A262" s="17" t="n"/>
      <c r="B262" s="25">
        <f>IF(A262="","",IFERROR(INDEX(가게정보!$B$3:$B$122,MATCH(A262,가게정보!$A$3:$A$122,0)),"(id를 확인하세요)"))</f>
        <v/>
      </c>
      <c r="C262" s="17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18" t="n"/>
    </row>
    <row r="263">
      <c r="A263" s="17" t="n"/>
      <c r="B263" s="25">
        <f>IF(A263="","",IFERROR(INDEX(가게정보!$B$3:$B$122,MATCH(A263,가게정보!$A$3:$A$122,0)),"(id를 확인하세요)"))</f>
        <v/>
      </c>
      <c r="C263" s="17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18" t="n"/>
    </row>
    <row r="264">
      <c r="A264" s="17" t="n"/>
      <c r="B264" s="25">
        <f>IF(A264="","",IFERROR(INDEX(가게정보!$B$3:$B$122,MATCH(A264,가게정보!$A$3:$A$122,0)),"(id를 확인하세요)"))</f>
        <v/>
      </c>
      <c r="C264" s="17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18" t="n"/>
    </row>
    <row r="265">
      <c r="A265" s="17" t="n"/>
      <c r="B265" s="25">
        <f>IF(A265="","",IFERROR(INDEX(가게정보!$B$3:$B$122,MATCH(A265,가게정보!$A$3:$A$122,0)),"(id를 확인하세요)"))</f>
        <v/>
      </c>
      <c r="C265" s="17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18" t="n"/>
    </row>
    <row r="266">
      <c r="A266" s="17" t="n"/>
      <c r="B266" s="25">
        <f>IF(A266="","",IFERROR(INDEX(가게정보!$B$3:$B$122,MATCH(A266,가게정보!$A$3:$A$122,0)),"(id를 확인하세요)"))</f>
        <v/>
      </c>
      <c r="C266" s="17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18" t="n"/>
    </row>
    <row r="267">
      <c r="A267" s="17" t="n"/>
      <c r="B267" s="25">
        <f>IF(A267="","",IFERROR(INDEX(가게정보!$B$3:$B$122,MATCH(A267,가게정보!$A$3:$A$122,0)),"(id를 확인하세요)"))</f>
        <v/>
      </c>
      <c r="C267" s="17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18" t="n"/>
    </row>
    <row r="268">
      <c r="A268" s="17" t="n"/>
      <c r="B268" s="25">
        <f>IF(A268="","",IFERROR(INDEX(가게정보!$B$3:$B$122,MATCH(A268,가게정보!$A$3:$A$122,0)),"(id를 확인하세요)"))</f>
        <v/>
      </c>
      <c r="C268" s="17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18" t="n"/>
    </row>
    <row r="269">
      <c r="A269" s="17" t="n"/>
      <c r="B269" s="25">
        <f>IF(A269="","",IFERROR(INDEX(가게정보!$B$3:$B$122,MATCH(A269,가게정보!$A$3:$A$122,0)),"(id를 확인하세요)"))</f>
        <v/>
      </c>
      <c r="C269" s="17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18" t="n"/>
    </row>
    <row r="270">
      <c r="A270" s="17" t="n"/>
      <c r="B270" s="25">
        <f>IF(A270="","",IFERROR(INDEX(가게정보!$B$3:$B$122,MATCH(A270,가게정보!$A$3:$A$122,0)),"(id를 확인하세요)"))</f>
        <v/>
      </c>
      <c r="C270" s="17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18" t="n"/>
    </row>
    <row r="271">
      <c r="A271" s="17" t="n"/>
      <c r="B271" s="25">
        <f>IF(A271="","",IFERROR(INDEX(가게정보!$B$3:$B$122,MATCH(A271,가게정보!$A$3:$A$122,0)),"(id를 확인하세요)"))</f>
        <v/>
      </c>
      <c r="C271" s="17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18" t="n"/>
    </row>
    <row r="272">
      <c r="A272" s="17" t="n"/>
      <c r="B272" s="25">
        <f>IF(A272="","",IFERROR(INDEX(가게정보!$B$3:$B$122,MATCH(A272,가게정보!$A$3:$A$122,0)),"(id를 확인하세요)"))</f>
        <v/>
      </c>
      <c r="C272" s="17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18" t="n"/>
    </row>
    <row r="273">
      <c r="A273" s="17" t="n"/>
      <c r="B273" s="25">
        <f>IF(A273="","",IFERROR(INDEX(가게정보!$B$3:$B$122,MATCH(A273,가게정보!$A$3:$A$122,0)),"(id를 확인하세요)"))</f>
        <v/>
      </c>
      <c r="C273" s="17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18" t="n"/>
    </row>
    <row r="274">
      <c r="A274" s="17" t="n"/>
      <c r="B274" s="25">
        <f>IF(A274="","",IFERROR(INDEX(가게정보!$B$3:$B$122,MATCH(A274,가게정보!$A$3:$A$122,0)),"(id를 확인하세요)"))</f>
        <v/>
      </c>
      <c r="C274" s="17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18" t="n"/>
    </row>
    <row r="275">
      <c r="A275" s="17" t="n"/>
      <c r="B275" s="25">
        <f>IF(A275="","",IFERROR(INDEX(가게정보!$B$3:$B$122,MATCH(A275,가게정보!$A$3:$A$122,0)),"(id를 확인하세요)"))</f>
        <v/>
      </c>
      <c r="C275" s="17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18" t="n"/>
    </row>
    <row r="276">
      <c r="A276" s="17" t="n"/>
      <c r="B276" s="25">
        <f>IF(A276="","",IFERROR(INDEX(가게정보!$B$3:$B$122,MATCH(A276,가게정보!$A$3:$A$122,0)),"(id를 확인하세요)"))</f>
        <v/>
      </c>
      <c r="C276" s="17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18" t="n"/>
    </row>
    <row r="277">
      <c r="A277" s="17" t="n"/>
      <c r="B277" s="25">
        <f>IF(A277="","",IFERROR(INDEX(가게정보!$B$3:$B$122,MATCH(A277,가게정보!$A$3:$A$122,0)),"(id를 확인하세요)"))</f>
        <v/>
      </c>
      <c r="C277" s="17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18" t="n"/>
    </row>
    <row r="278">
      <c r="A278" s="17" t="n"/>
      <c r="B278" s="25">
        <f>IF(A278="","",IFERROR(INDEX(가게정보!$B$3:$B$122,MATCH(A278,가게정보!$A$3:$A$122,0)),"(id를 확인하세요)"))</f>
        <v/>
      </c>
      <c r="C278" s="17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18" t="n"/>
    </row>
    <row r="279">
      <c r="A279" s="17" t="n"/>
      <c r="B279" s="25">
        <f>IF(A279="","",IFERROR(INDEX(가게정보!$B$3:$B$122,MATCH(A279,가게정보!$A$3:$A$122,0)),"(id를 확인하세요)"))</f>
        <v/>
      </c>
      <c r="C279" s="17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18" t="n"/>
    </row>
    <row r="280">
      <c r="A280" s="17" t="n"/>
      <c r="B280" s="25">
        <f>IF(A280="","",IFERROR(INDEX(가게정보!$B$3:$B$122,MATCH(A280,가게정보!$A$3:$A$122,0)),"(id를 확인하세요)"))</f>
        <v/>
      </c>
      <c r="C280" s="17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18" t="n"/>
    </row>
    <row r="281">
      <c r="A281" s="17" t="n"/>
      <c r="B281" s="25">
        <f>IF(A281="","",IFERROR(INDEX(가게정보!$B$3:$B$122,MATCH(A281,가게정보!$A$3:$A$122,0)),"(id를 확인하세요)"))</f>
        <v/>
      </c>
      <c r="C281" s="17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18" t="n"/>
    </row>
    <row r="282">
      <c r="A282" s="17" t="n"/>
      <c r="B282" s="25">
        <f>IF(A282="","",IFERROR(INDEX(가게정보!$B$3:$B$122,MATCH(A282,가게정보!$A$3:$A$122,0)),"(id를 확인하세요)"))</f>
        <v/>
      </c>
      <c r="C282" s="17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18" t="n"/>
    </row>
    <row r="283">
      <c r="A283" s="17" t="n"/>
      <c r="B283" s="25">
        <f>IF(A283="","",IFERROR(INDEX(가게정보!$B$3:$B$122,MATCH(A283,가게정보!$A$3:$A$122,0)),"(id를 확인하세요)"))</f>
        <v/>
      </c>
      <c r="C283" s="17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18" t="n"/>
    </row>
    <row r="284">
      <c r="A284" s="17" t="n"/>
      <c r="B284" s="25">
        <f>IF(A284="","",IFERROR(INDEX(가게정보!$B$3:$B$122,MATCH(A284,가게정보!$A$3:$A$122,0)),"(id를 확인하세요)"))</f>
        <v/>
      </c>
      <c r="C284" s="17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18" t="n"/>
    </row>
    <row r="285">
      <c r="A285" s="17" t="n"/>
      <c r="B285" s="25">
        <f>IF(A285="","",IFERROR(INDEX(가게정보!$B$3:$B$122,MATCH(A285,가게정보!$A$3:$A$122,0)),"(id를 확인하세요)"))</f>
        <v/>
      </c>
      <c r="C285" s="17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18" t="n"/>
    </row>
    <row r="286">
      <c r="A286" s="17" t="n"/>
      <c r="B286" s="25">
        <f>IF(A286="","",IFERROR(INDEX(가게정보!$B$3:$B$122,MATCH(A286,가게정보!$A$3:$A$122,0)),"(id를 확인하세요)"))</f>
        <v/>
      </c>
      <c r="C286" s="17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18" t="n"/>
    </row>
    <row r="287">
      <c r="A287" s="17" t="n"/>
      <c r="B287" s="25">
        <f>IF(A287="","",IFERROR(INDEX(가게정보!$B$3:$B$122,MATCH(A287,가게정보!$A$3:$A$122,0)),"(id를 확인하세요)"))</f>
        <v/>
      </c>
      <c r="C287" s="17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18" t="n"/>
    </row>
    <row r="288">
      <c r="A288" s="17" t="n"/>
      <c r="B288" s="25">
        <f>IF(A288="","",IFERROR(INDEX(가게정보!$B$3:$B$122,MATCH(A288,가게정보!$A$3:$A$122,0)),"(id를 확인하세요)"))</f>
        <v/>
      </c>
      <c r="C288" s="17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18" t="n"/>
    </row>
    <row r="289">
      <c r="A289" s="17" t="n"/>
      <c r="B289" s="25">
        <f>IF(A289="","",IFERROR(INDEX(가게정보!$B$3:$B$122,MATCH(A289,가게정보!$A$3:$A$122,0)),"(id를 확인하세요)"))</f>
        <v/>
      </c>
      <c r="C289" s="17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18" t="n"/>
    </row>
    <row r="290">
      <c r="A290" s="17" t="n"/>
      <c r="B290" s="25">
        <f>IF(A290="","",IFERROR(INDEX(가게정보!$B$3:$B$122,MATCH(A290,가게정보!$A$3:$A$122,0)),"(id를 확인하세요)"))</f>
        <v/>
      </c>
      <c r="C290" s="17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18" t="n"/>
    </row>
    <row r="291">
      <c r="A291" s="17" t="n"/>
      <c r="B291" s="25">
        <f>IF(A291="","",IFERROR(INDEX(가게정보!$B$3:$B$122,MATCH(A291,가게정보!$A$3:$A$122,0)),"(id를 확인하세요)"))</f>
        <v/>
      </c>
      <c r="C291" s="17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18" t="n"/>
    </row>
    <row r="292">
      <c r="A292" s="17" t="n"/>
      <c r="B292" s="25">
        <f>IF(A292="","",IFERROR(INDEX(가게정보!$B$3:$B$122,MATCH(A292,가게정보!$A$3:$A$122,0)),"(id를 확인하세요)"))</f>
        <v/>
      </c>
      <c r="C292" s="17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18" t="n"/>
    </row>
    <row r="293">
      <c r="A293" s="17" t="n"/>
      <c r="B293" s="25">
        <f>IF(A293="","",IFERROR(INDEX(가게정보!$B$3:$B$122,MATCH(A293,가게정보!$A$3:$A$122,0)),"(id를 확인하세요)"))</f>
        <v/>
      </c>
      <c r="C293" s="17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18" t="n"/>
    </row>
    <row r="294">
      <c r="A294" s="17" t="n"/>
      <c r="B294" s="25">
        <f>IF(A294="","",IFERROR(INDEX(가게정보!$B$3:$B$122,MATCH(A294,가게정보!$A$3:$A$122,0)),"(id를 확인하세요)"))</f>
        <v/>
      </c>
      <c r="C294" s="17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18" t="n"/>
    </row>
    <row r="295">
      <c r="A295" s="17" t="n"/>
      <c r="B295" s="25">
        <f>IF(A295="","",IFERROR(INDEX(가게정보!$B$3:$B$122,MATCH(A295,가게정보!$A$3:$A$122,0)),"(id를 확인하세요)"))</f>
        <v/>
      </c>
      <c r="C295" s="17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18" t="n"/>
    </row>
    <row r="296">
      <c r="A296" s="17" t="n"/>
      <c r="B296" s="25">
        <f>IF(A296="","",IFERROR(INDEX(가게정보!$B$3:$B$122,MATCH(A296,가게정보!$A$3:$A$122,0)),"(id를 확인하세요)"))</f>
        <v/>
      </c>
      <c r="C296" s="17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18" t="n"/>
    </row>
    <row r="297">
      <c r="A297" s="17" t="n"/>
      <c r="B297" s="25">
        <f>IF(A297="","",IFERROR(INDEX(가게정보!$B$3:$B$122,MATCH(A297,가게정보!$A$3:$A$122,0)),"(id를 확인하세요)"))</f>
        <v/>
      </c>
      <c r="C297" s="17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18" t="n"/>
    </row>
    <row r="298">
      <c r="A298" s="17" t="n"/>
      <c r="B298" s="25">
        <f>IF(A298="","",IFERROR(INDEX(가게정보!$B$3:$B$122,MATCH(A298,가게정보!$A$3:$A$122,0)),"(id를 확인하세요)"))</f>
        <v/>
      </c>
      <c r="C298" s="17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18" t="n"/>
    </row>
    <row r="299">
      <c r="A299" s="17" t="n"/>
      <c r="B299" s="25">
        <f>IF(A299="","",IFERROR(INDEX(가게정보!$B$3:$B$122,MATCH(A299,가게정보!$A$3:$A$122,0)),"(id를 확인하세요)"))</f>
        <v/>
      </c>
      <c r="C299" s="17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18" t="n"/>
    </row>
    <row r="300">
      <c r="A300" s="17" t="n"/>
      <c r="B300" s="25">
        <f>IF(A300="","",IFERROR(INDEX(가게정보!$B$3:$B$122,MATCH(A300,가게정보!$A$3:$A$122,0)),"(id를 확인하세요)"))</f>
        <v/>
      </c>
      <c r="C300" s="17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18" t="n"/>
    </row>
    <row r="301">
      <c r="A301" s="17" t="n"/>
      <c r="B301" s="25">
        <f>IF(A301="","",IFERROR(INDEX(가게정보!$B$3:$B$122,MATCH(A301,가게정보!$A$3:$A$122,0)),"(id를 확인하세요)"))</f>
        <v/>
      </c>
      <c r="C301" s="17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18" t="n"/>
    </row>
    <row r="302">
      <c r="A302" s="17" t="n"/>
      <c r="B302" s="25">
        <f>IF(A302="","",IFERROR(INDEX(가게정보!$B$3:$B$122,MATCH(A302,가게정보!$A$3:$A$122,0)),"(id를 확인하세요)"))</f>
        <v/>
      </c>
      <c r="C302" s="17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18" t="n"/>
    </row>
  </sheetData>
  <dataValidations count="2">
    <dataValidation sqref="A3:A302" showDropDown="0" showInputMessage="0" showErrorMessage="1" allowBlank="1" errorTitle="가게 id" error="가게정보 시트의 id(store_001 …)를 고르세요." type="list" errorStyle="stop">
      <formula1>=가게정보!$A$3:$A$122</formula1>
    </dataValidation>
    <dataValidation sqref="D3:K302" showDropDown="0" showInputMessage="0" showErrorMessage="1" allowBlank="1" errorTitle="O/X" error="O(맞다) 또는 X(아니다)만 쓰세요." type="list" errorStyle="stop">
      <formula1>=목록!$D$2:$D$3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5" customWidth="1" min="4" max="4"/>
    <col width="30" customWidth="1" min="5" max="5"/>
    <col width="10" customWidth="1" min="6" max="6"/>
    <col width="10" customWidth="1" min="7" max="7"/>
    <col width="11" customWidth="1" min="8" max="8"/>
    <col width="11" customWidth="1" min="9" max="9"/>
    <col width="14" customWidth="1" min="10" max="10"/>
    <col width="13" customWidth="1" min="11" max="11"/>
    <col width="14" customWidth="1" min="12" max="12"/>
    <col width="28" customWidth="1" min="13" max="13"/>
    <col width="12" customWidth="1" min="14" max="14"/>
    <col width="14" customWidth="1" min="15" max="15"/>
    <col width="24" customWidth="1" min="16" max="16"/>
    <col width="20" customWidth="1" min="17" max="17"/>
    <col width="10" customWidth="1" min="18" max="18"/>
    <col width="16" customWidth="1" min="19" max="19"/>
    <col width="18" customWidth="1" min="20" max="20"/>
    <col width="18" customWidth="1" min="21" max="21"/>
    <col width="40" customWidth="1" min="22" max="22"/>
    <col width="10" customWidth="1" min="23" max="23"/>
    <col width="12" customWidth="1" min="24" max="24"/>
    <col width="30" customWidth="1" min="25" max="25"/>
    <col width="24" customWidth="1" min="26" max="26"/>
  </cols>
  <sheetData>
    <row r="1">
      <c r="A1" s="27" t="inlineStr">
        <is>
          <t>예시입니다 (가상의 가게). 형식만 참고하세요. 이 시트의 내용은 데이터로 쓰이지 않습니다.</t>
        </is>
      </c>
    </row>
    <row r="2" ht="34" customHeight="1">
      <c r="A2" s="28" t="inlineStr">
        <is>
          <t>id
(수정 금지)</t>
        </is>
      </c>
      <c r="B2" s="12" t="inlineStr">
        <is>
          <t>★가게 이름</t>
        </is>
      </c>
      <c r="C2" s="12" t="inlineStr">
        <is>
          <t>★유형</t>
        </is>
      </c>
      <c r="D2" s="12" t="inlineStr">
        <is>
          <t>★지역</t>
        </is>
      </c>
      <c r="E2" s="12" t="inlineStr">
        <is>
          <t>★도로명 주소</t>
        </is>
      </c>
      <c r="F2" s="13" t="inlineStr">
        <is>
          <t>위도</t>
        </is>
      </c>
      <c r="G2" s="13" t="inlineStr">
        <is>
          <t>경도</t>
        </is>
      </c>
      <c r="H2" s="12" t="inlineStr">
        <is>
          <t>★여는 시각</t>
        </is>
      </c>
      <c r="I2" s="12" t="inlineStr">
        <is>
          <t>★닫는 시각</t>
        </is>
      </c>
      <c r="J2" s="13" t="inlineStr">
        <is>
          <t>휴무 요일</t>
        </is>
      </c>
      <c r="K2" s="12" t="inlineStr">
        <is>
          <t>★머무는 시간(분)</t>
        </is>
      </c>
      <c r="L2" s="12" t="inlineStr">
        <is>
          <t>★1인 예상 지출(원)</t>
        </is>
      </c>
      <c r="M2" s="14" t="inlineStr">
        <is>
          <t>대표 메뉴·가격
[참고]</t>
        </is>
      </c>
      <c r="N2" s="14" t="inlineStr">
        <is>
          <t>음식 종류
[참고]</t>
        </is>
      </c>
      <c r="O2" s="14" t="inlineStr">
        <is>
          <t>식사 시간대
[참고]</t>
        </is>
      </c>
      <c r="P2" s="12" t="inlineStr">
        <is>
          <t>★할 거리</t>
        </is>
      </c>
      <c r="Q2" s="12" t="inlineStr">
        <is>
          <t>★분위기</t>
        </is>
      </c>
      <c r="R2" s="12" t="inlineStr">
        <is>
          <t>★공간</t>
        </is>
      </c>
      <c r="S2" s="13" t="inlineStr">
        <is>
          <t>어울리는 시간</t>
        </is>
      </c>
      <c r="T2" s="13" t="inlineStr">
        <is>
          <t>어울리는 동행</t>
        </is>
      </c>
      <c r="U2" s="13" t="inlineStr">
        <is>
          <t>별칭</t>
        </is>
      </c>
      <c r="V2" s="13" t="inlineStr">
        <is>
          <t>한줄 소개</t>
        </is>
      </c>
      <c r="W2" s="13" t="inlineStr">
        <is>
          <t>조사자</t>
        </is>
      </c>
      <c r="X2" s="13" t="inlineStr">
        <is>
          <t>조사일</t>
        </is>
      </c>
      <c r="Y2" s="13" t="inlineStr">
        <is>
          <t>정보 출처
(링크·날짜)</t>
        </is>
      </c>
      <c r="Z2" s="13" t="inlineStr">
        <is>
          <t>메모</t>
        </is>
      </c>
    </row>
    <row r="3" ht="42" customHeight="1">
      <c r="A3" s="18" t="inlineStr">
        <is>
          <t>store_001</t>
        </is>
      </c>
      <c r="B3" s="18" t="inlineStr">
        <is>
          <t>(예시) ○○ 국밥</t>
        </is>
      </c>
      <c r="C3" s="18" t="inlineStr">
        <is>
          <t>식당</t>
        </is>
      </c>
      <c r="D3" s="18" t="inlineStr">
        <is>
          <t>동구 동명동</t>
        </is>
      </c>
      <c r="E3" s="18" t="inlineStr">
        <is>
          <t>광주 동구 ○○로 12 (예시)</t>
        </is>
      </c>
      <c r="F3" s="18" t="inlineStr"/>
      <c r="G3" s="18" t="inlineStr"/>
      <c r="H3" s="18" t="inlineStr">
        <is>
          <t>11:00</t>
        </is>
      </c>
      <c r="I3" s="18" t="inlineStr">
        <is>
          <t>21:00</t>
        </is>
      </c>
      <c r="J3" s="18" t="inlineStr">
        <is>
          <t>월</t>
        </is>
      </c>
      <c r="K3" s="18" t="n">
        <v>50</v>
      </c>
      <c r="L3" s="29" t="n">
        <v>9000</v>
      </c>
      <c r="M3" s="18" t="inlineStr">
        <is>
          <t>순대국밥 9,000 / 수육 25,000</t>
        </is>
      </c>
      <c r="N3" s="18" t="inlineStr">
        <is>
          <t>한식</t>
        </is>
      </c>
      <c r="O3" s="18" t="inlineStr">
        <is>
          <t>점심·저녁 모두</t>
        </is>
      </c>
      <c r="P3" s="18" t="inlineStr">
        <is>
          <t>식사</t>
        </is>
      </c>
      <c r="Q3" s="18" t="inlineStr">
        <is>
          <t>서민적, 활기찬</t>
        </is>
      </c>
      <c r="R3" s="18" t="inlineStr">
        <is>
          <t>실내</t>
        </is>
      </c>
      <c r="S3" s="18" t="inlineStr">
        <is>
          <t>오후, 저녁</t>
        </is>
      </c>
      <c r="T3" s="18" t="inlineStr">
        <is>
          <t>혼자, 친구, 가족</t>
        </is>
      </c>
      <c r="U3" s="18" t="inlineStr">
        <is>
          <t>○○국밥집</t>
        </is>
      </c>
      <c r="V3" s="18" t="inlineStr">
        <is>
          <t>2008년 개업. 대표 메뉴는 순대국밥.</t>
        </is>
      </c>
      <c r="W3" s="18" t="inlineStr">
        <is>
          <t>홍길동</t>
        </is>
      </c>
      <c r="X3" s="18" t="inlineStr">
        <is>
          <t>2026-10-20</t>
        </is>
      </c>
      <c r="Y3" s="18" t="inlineStr">
        <is>
          <t>현장 확인(2026-10-20), 가게 인스타 소개글</t>
        </is>
      </c>
      <c r="Z3" s="18" t="inlineStr"/>
    </row>
    <row r="4" ht="42" customHeight="1">
      <c r="A4" s="18" t="inlineStr">
        <is>
          <t>store_002</t>
        </is>
      </c>
      <c r="B4" s="18" t="inlineStr">
        <is>
          <t>(예시) △△ 커피</t>
        </is>
      </c>
      <c r="C4" s="18" t="inlineStr">
        <is>
          <t>카페·디저트</t>
        </is>
      </c>
      <c r="D4" s="18" t="inlineStr">
        <is>
          <t>동구 동명동</t>
        </is>
      </c>
      <c r="E4" s="18" t="inlineStr">
        <is>
          <t>광주 동구 △△길 5 (예시)</t>
        </is>
      </c>
      <c r="F4" s="18" t="inlineStr"/>
      <c r="G4" s="18" t="inlineStr"/>
      <c r="H4" s="18" t="inlineStr">
        <is>
          <t>10:00</t>
        </is>
      </c>
      <c r="I4" s="18" t="inlineStr">
        <is>
          <t>22:00</t>
        </is>
      </c>
      <c r="J4" s="18" t="inlineStr"/>
      <c r="K4" s="18" t="n">
        <v>70</v>
      </c>
      <c r="L4" s="29" t="n">
        <v>6500</v>
      </c>
      <c r="M4" s="18" t="inlineStr">
        <is>
          <t>아메리카노 4,500 / 수제 케이크 6,500</t>
        </is>
      </c>
      <c r="N4" s="18" t="inlineStr">
        <is>
          <t>카페·디저트</t>
        </is>
      </c>
      <c r="O4" s="18" t="inlineStr">
        <is>
          <t>해당 없음</t>
        </is>
      </c>
      <c r="P4" s="18" t="inlineStr">
        <is>
          <t>카페·디저트, 사진, 휴식</t>
        </is>
      </c>
      <c r="Q4" s="18" t="inlineStr">
        <is>
          <t>감성적, 조용한</t>
        </is>
      </c>
      <c r="R4" s="18" t="inlineStr">
        <is>
          <t>실내</t>
        </is>
      </c>
      <c r="S4" s="18" t="inlineStr">
        <is>
          <t>오후, 저녁</t>
        </is>
      </c>
      <c r="T4" s="18" t="inlineStr">
        <is>
          <t>혼자, 친구, 연인</t>
        </is>
      </c>
      <c r="U4" s="18" t="inlineStr"/>
      <c r="V4" s="18" t="inlineStr">
        <is>
          <t>한옥을 고쳐 만든 카페. 마당 좌석이 있음.</t>
        </is>
      </c>
      <c r="W4" s="18" t="inlineStr">
        <is>
          <t>홍길동</t>
        </is>
      </c>
      <c r="X4" s="18" t="inlineStr">
        <is>
          <t>2026-10-20</t>
        </is>
      </c>
      <c r="Y4" s="18" t="inlineStr">
        <is>
          <t>현장 확인(2026-10-20)</t>
        </is>
      </c>
      <c r="Z4" s="18" t="inlineStr"/>
    </row>
    <row r="6">
      <c r="A6" s="5" t="inlineStr">
        <is>
          <t>체크리스트 시트 예시</t>
        </is>
      </c>
    </row>
    <row r="7">
      <c r="A7" s="7" t="inlineStr">
        <is>
          <t>store_001</t>
        </is>
      </c>
      <c r="B7" s="7" t="inlineStr">
        <is>
          <t>(예시) ○○ 국밥</t>
        </is>
      </c>
      <c r="C7" s="7" t="inlineStr">
        <is>
          <t>홍길동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O</t>
        </is>
      </c>
      <c r="G7" s="7" t="inlineStr">
        <is>
          <t>X</t>
        </is>
      </c>
      <c r="H7" s="7" t="inlineStr">
        <is>
          <t>O</t>
        </is>
      </c>
      <c r="I7" s="7" t="inlineStr">
        <is>
          <t>O</t>
        </is>
      </c>
      <c r="J7" s="7" t="inlineStr">
        <is>
          <t>O</t>
        </is>
      </c>
      <c r="K7" s="7" t="inlineStr">
        <is>
          <t>O</t>
        </is>
      </c>
      <c r="L7" s="7" t="inlineStr">
        <is>
          <t>광주 대표 음식 국밥 소개 자료 링크(예시), 시장 구역 지도 캡처 파일명(예시), 좌석 사진 파일명(예시)</t>
        </is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2" customHeight="1">
      <c r="A1" s="12" t="inlineStr">
        <is>
          <t>유형</t>
        </is>
      </c>
      <c r="B1" s="12" t="inlineStr">
        <is>
          <t>시스템 코드</t>
        </is>
      </c>
      <c r="C1" s="12" t="inlineStr">
        <is>
          <t>공간</t>
        </is>
      </c>
      <c r="D1" s="12" t="inlineStr">
        <is>
          <t>O/X</t>
        </is>
      </c>
      <c r="E1" s="12" t="inlineStr">
        <is>
          <t>음식 종류 [참고]</t>
        </is>
      </c>
      <c r="F1" s="12" t="inlineStr">
        <is>
          <t>식사 시간대 [참고]</t>
        </is>
      </c>
      <c r="G1" s="12" t="inlineStr">
        <is>
          <t>할 거리 (여러 개 가능)</t>
        </is>
      </c>
      <c r="H1" s="12" t="inlineStr">
        <is>
          <t>분위기 (여러 개 가능)</t>
        </is>
      </c>
      <c r="I1" s="12" t="inlineStr">
        <is>
          <t>어울리는 시간 (여러 개 가능)</t>
        </is>
      </c>
      <c r="J1" s="12" t="inlineStr">
        <is>
          <t>어울리는 동행 (여러 개 가능)</t>
        </is>
      </c>
    </row>
    <row r="2">
      <c r="A2" s="7" t="inlineStr">
        <is>
          <t>식당</t>
        </is>
      </c>
      <c r="B2" s="7" t="inlineStr">
        <is>
          <t>food</t>
        </is>
      </c>
      <c r="C2" s="7" t="inlineStr">
        <is>
          <t>실내</t>
        </is>
      </c>
      <c r="D2" s="7" t="inlineStr">
        <is>
          <t>O</t>
        </is>
      </c>
      <c r="E2" s="7" t="inlineStr">
        <is>
          <t>한식</t>
        </is>
      </c>
      <c r="F2" s="7" t="inlineStr">
        <is>
          <t>점심</t>
        </is>
      </c>
      <c r="G2" s="7" t="inlineStr">
        <is>
          <t>사진</t>
        </is>
      </c>
      <c r="H2" s="7" t="inlineStr">
        <is>
          <t>조용한</t>
        </is>
      </c>
      <c r="I2" s="7" t="inlineStr">
        <is>
          <t>오전</t>
        </is>
      </c>
      <c r="J2" s="7" t="inlineStr">
        <is>
          <t>혼자</t>
        </is>
      </c>
    </row>
    <row r="3">
      <c r="A3" s="7" t="inlineStr">
        <is>
          <t>카페·디저트</t>
        </is>
      </c>
      <c r="B3" s="7" t="inlineStr">
        <is>
          <t>cafe</t>
        </is>
      </c>
      <c r="C3" s="7" t="inlineStr">
        <is>
          <t>실외</t>
        </is>
      </c>
      <c r="D3" s="7" t="inlineStr">
        <is>
          <t>X</t>
        </is>
      </c>
      <c r="E3" s="7" t="inlineStr">
        <is>
          <t>중식</t>
        </is>
      </c>
      <c r="F3" s="7" t="inlineStr">
        <is>
          <t>저녁</t>
        </is>
      </c>
      <c r="G3" s="7" t="inlineStr">
        <is>
          <t>산책</t>
        </is>
      </c>
      <c r="H3" s="7" t="inlineStr">
        <is>
          <t>활기찬</t>
        </is>
      </c>
      <c r="I3" s="7" t="inlineStr">
        <is>
          <t>오후</t>
        </is>
      </c>
      <c r="J3" s="7" t="inlineStr">
        <is>
          <t>친구</t>
        </is>
      </c>
    </row>
    <row r="4">
      <c r="A4" s="7" t="inlineStr">
        <is>
          <t>전통시장</t>
        </is>
      </c>
      <c r="B4" s="7" t="inlineStr">
        <is>
          <t>market</t>
        </is>
      </c>
      <c r="C4" s="7" t="inlineStr">
        <is>
          <t>실내외</t>
        </is>
      </c>
      <c r="E4" s="7" t="inlineStr">
        <is>
          <t>일식</t>
        </is>
      </c>
      <c r="F4" s="7" t="inlineStr">
        <is>
          <t>점심·저녁 모두</t>
        </is>
      </c>
      <c r="G4" s="7" t="inlineStr">
        <is>
          <t>전시 관람</t>
        </is>
      </c>
      <c r="H4" s="7" t="inlineStr">
        <is>
          <t>레트로</t>
        </is>
      </c>
      <c r="I4" s="7" t="inlineStr">
        <is>
          <t>저녁</t>
        </is>
      </c>
      <c r="J4" s="7" t="inlineStr">
        <is>
          <t>연인</t>
        </is>
      </c>
    </row>
    <row r="5">
      <c r="A5" s="7" t="inlineStr">
        <is>
          <t>상점가</t>
        </is>
      </c>
      <c r="B5" s="7" t="inlineStr">
        <is>
          <t>shop</t>
        </is>
      </c>
      <c r="E5" s="7" t="inlineStr">
        <is>
          <t>양식</t>
        </is>
      </c>
      <c r="F5" s="7" t="inlineStr">
        <is>
          <t>해당 없음</t>
        </is>
      </c>
      <c r="G5" s="7" t="inlineStr">
        <is>
          <t>공연·영화</t>
        </is>
      </c>
      <c r="H5" s="7" t="inlineStr">
        <is>
          <t>현대적</t>
        </is>
      </c>
      <c r="I5" s="7" t="inlineStr">
        <is>
          <t>밤</t>
        </is>
      </c>
      <c r="J5" s="7" t="inlineStr">
        <is>
          <t>가족</t>
        </is>
      </c>
    </row>
    <row r="6">
      <c r="A6" s="7" t="inlineStr">
        <is>
          <t>명소·산책</t>
        </is>
      </c>
      <c r="B6" s="7" t="inlineStr">
        <is>
          <t>sight</t>
        </is>
      </c>
      <c r="E6" s="7" t="inlineStr">
        <is>
          <t>분식</t>
        </is>
      </c>
      <c r="G6" s="7" t="inlineStr">
        <is>
          <t>역사 탐방</t>
        </is>
      </c>
      <c r="H6" s="7" t="inlineStr">
        <is>
          <t>전통적</t>
        </is>
      </c>
      <c r="J6" s="7" t="inlineStr">
        <is>
          <t>아이 동반</t>
        </is>
      </c>
    </row>
    <row r="7">
      <c r="A7" s="7" t="inlineStr">
        <is>
          <t>문화·전시</t>
        </is>
      </c>
      <c r="B7" s="7" t="inlineStr">
        <is>
          <t>culture</t>
        </is>
      </c>
      <c r="E7" s="7" t="inlineStr">
        <is>
          <t>카페·디저트</t>
        </is>
      </c>
      <c r="G7" s="7" t="inlineStr">
        <is>
          <t>건축 구경</t>
        </is>
      </c>
      <c r="H7" s="7" t="inlineStr">
        <is>
          <t>예술적</t>
        </is>
      </c>
    </row>
    <row r="8">
      <c r="A8" s="7" t="inlineStr">
        <is>
          <t>야간 콘텐츠</t>
        </is>
      </c>
      <c r="B8" s="7" t="inlineStr">
        <is>
          <t>night</t>
        </is>
      </c>
      <c r="E8" s="7" t="inlineStr">
        <is>
          <t>주점</t>
        </is>
      </c>
      <c r="G8" s="7" t="inlineStr">
        <is>
          <t>식사</t>
        </is>
      </c>
      <c r="H8" s="7" t="inlineStr">
        <is>
          <t>감성적</t>
        </is>
      </c>
    </row>
    <row r="9">
      <c r="E9" s="7" t="inlineStr">
        <is>
          <t>기타</t>
        </is>
      </c>
      <c r="G9" s="7" t="inlineStr">
        <is>
          <t>길거리 음식</t>
        </is>
      </c>
      <c r="H9" s="7" t="inlineStr">
        <is>
          <t>자연 속</t>
        </is>
      </c>
    </row>
    <row r="10">
      <c r="G10" s="7" t="inlineStr">
        <is>
          <t>카페·디저트</t>
        </is>
      </c>
      <c r="H10" s="7" t="inlineStr">
        <is>
          <t>서민적</t>
        </is>
      </c>
    </row>
    <row r="11">
      <c r="G11" s="7" t="inlineStr">
        <is>
          <t>술</t>
        </is>
      </c>
    </row>
    <row r="12">
      <c r="G12" s="7" t="inlineStr">
        <is>
          <t>쇼핑</t>
        </is>
      </c>
    </row>
    <row r="13">
      <c r="G13" s="7" t="inlineStr">
        <is>
          <t>시장 구경</t>
        </is>
      </c>
    </row>
    <row r="14">
      <c r="G14" s="7" t="inlineStr">
        <is>
          <t>공방 체험</t>
        </is>
      </c>
    </row>
    <row r="15">
      <c r="G15" s="7" t="inlineStr">
        <is>
          <t>야경</t>
        </is>
      </c>
    </row>
    <row r="16">
      <c r="G16" s="7" t="inlineStr">
        <is>
          <t>휴식</t>
        </is>
      </c>
    </row>
    <row r="18">
      <c r="A18" s="30" t="inlineStr">
        <is>
          <t>할 거리·분위기·시간·동행은 data/tags.json 과 같은 값입니다. 목록에 없는 말은 쓰지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2026-10-16T14:17:14Z</dcterms:created>
  <dcterms:modified xsi:type="dcterms:W3CDTF">2026-10-20T15:36:37Z</dcterms:modified>
</cp:coreProperties>
</file>